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ตั้งค่า" sheetId="1" state="visible" r:id="rId1"/>
    <sheet xmlns:r="http://schemas.openxmlformats.org/officeDocument/2006/relationships" name="ต้นทุนชิ้นงาน" sheetId="2" state="visible" r:id="rId2"/>
    <sheet xmlns:r="http://schemas.openxmlformats.org/officeDocument/2006/relationships" name="ราคาขายสินค้า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10"/>
    </font>
    <font>
      <name val="Arial"/>
      <b val="1"/>
      <sz val="12"/>
    </font>
    <font>
      <name val="Arial"/>
      <b val="1"/>
      <color rgb="00FFFFFF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i val="1"/>
      <color rgb="00595959"/>
      <sz val="9"/>
    </font>
    <font>
      <name val="Arial"/>
      <b val="1"/>
      <color rgb="00000000"/>
      <sz val="10"/>
    </font>
    <font>
      <name val="Arial"/>
      <sz val="10"/>
    </font>
    <font>
      <name val="Arial"/>
      <color rgb="00008000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4" fontId="5" fillId="0" borderId="1" applyAlignment="1" pivotButton="0" quotePrefix="0" xfId="0">
      <alignment vertical="center"/>
    </xf>
    <xf numFmtId="164" fontId="5" fillId="0" borderId="1" applyAlignment="1" pivotButton="0" quotePrefix="0" xfId="0">
      <alignment vertical="center"/>
    </xf>
    <xf numFmtId="4" fontId="6" fillId="0" borderId="1" applyAlignment="1" pivotButton="0" quotePrefix="0" xfId="0">
      <alignment vertical="center"/>
    </xf>
    <xf numFmtId="164" fontId="5" fillId="3" borderId="1" applyAlignment="1" pivotButton="0" quotePrefix="0" xfId="0">
      <alignment vertical="center"/>
    </xf>
    <xf numFmtId="0" fontId="8" fillId="4" borderId="1" applyAlignment="1" pivotButton="0" quotePrefix="0" xfId="0">
      <alignment vertical="center"/>
    </xf>
    <xf numFmtId="4" fontId="8" fillId="4" borderId="1" applyAlignment="1" pivotButton="0" quotePrefix="0" xfId="0">
      <alignment vertical="center"/>
    </xf>
    <xf numFmtId="0" fontId="7" fillId="0" borderId="0" pivotButton="0" quotePrefix="0" xfId="0"/>
    <xf numFmtId="0" fontId="6" fillId="0" borderId="1" applyAlignment="1" pivotButton="0" quotePrefix="0" xfId="0">
      <alignment vertical="center" wrapText="1"/>
    </xf>
    <xf numFmtId="3" fontId="5" fillId="3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165" fontId="5" fillId="3" borderId="1" applyAlignment="1" pivotButton="0" quotePrefix="0" xfId="0">
      <alignment vertical="center"/>
    </xf>
    <xf numFmtId="0" fontId="9" fillId="0" borderId="0" pivotButton="0" quotePrefix="0" xfId="0"/>
    <xf numFmtId="164" fontId="6" fillId="0" borderId="1" applyAlignment="1" pivotButton="0" quotePrefix="0" xfId="0">
      <alignment vertical="center"/>
    </xf>
    <xf numFmtId="3" fontId="6" fillId="0" borderId="1" applyAlignment="1" pivotButton="0" quotePrefix="0" xfId="0">
      <alignment vertical="center"/>
    </xf>
    <xf numFmtId="4" fontId="8" fillId="0" borderId="1" applyAlignment="1" pivotButton="0" quotePrefix="0" xfId="0">
      <alignment vertical="center"/>
    </xf>
    <xf numFmtId="4" fontId="10" fillId="4" borderId="1" applyAlignment="1" pivotButton="0" quotePrefix="0" xfId="0">
      <alignment vertical="center"/>
    </xf>
    <xf numFmtId="3" fontId="5" fillId="0" borderId="1" applyAlignment="1" pivotButton="0" quotePrefix="0" xfId="0">
      <alignment vertical="center"/>
    </xf>
    <xf numFmtId="4" fontId="5" fillId="3" borderId="1" applyAlignment="1" pivotButton="0" quotePrefix="0" xfId="0">
      <alignment vertical="center"/>
    </xf>
    <xf numFmtId="165" fontId="6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2" customWidth="1" min="3" max="3"/>
    <col width="11" customWidth="1" min="4" max="4"/>
    <col width="12" customWidth="1" min="5" max="5"/>
    <col width="11" customWidth="1" min="6" max="6"/>
    <col width="11" customWidth="1" min="7" max="7"/>
    <col width="10" customWidth="1" min="8" max="8"/>
    <col width="13" customWidth="1" min="9" max="9"/>
    <col width="14" customWidth="1" min="10" max="10"/>
    <col width="14" customWidth="1" min="11" max="11"/>
    <col width="14" customWidth="1" min="12" max="12"/>
    <col width="11" customWidth="1" min="13" max="13"/>
  </cols>
  <sheetData>
    <row r="1">
      <c r="A1" s="1" t="inlineStr">
        <is>
          <t>ต้นทุนและราคาขาย: สินค้าหนังไม่ต้องเย็บ</t>
        </is>
      </c>
    </row>
    <row r="2">
      <c r="A2" s="2" t="inlineStr">
        <is>
          <t>ตัวอักษรสีน้ำเงิน = ค่าที่กรอกเอง · พื้นสีเหลือง = ค่าประมาณ ควรวัดหรือชั่งจริงแล้วแก้ · ช่องอื่นเป็นสูตร ไม่ต้องแก้</t>
        </is>
      </c>
    </row>
    <row r="4">
      <c r="A4" s="3" t="inlineStr">
        <is>
          <t>หนังที่ซื้อมา</t>
        </is>
      </c>
    </row>
    <row r="5" ht="42" customHeight="1">
      <c r="A5" s="4" t="inlineStr">
        <is>
          <t>ล็อต</t>
        </is>
      </c>
      <c r="B5" s="4" t="inlineStr">
        <is>
          <t>ขนาดเศษ</t>
        </is>
      </c>
      <c r="C5" s="4" t="inlineStr">
        <is>
          <t>ราคา (บาท/กก.)</t>
        </is>
      </c>
      <c r="D5" s="4" t="inlineStr">
        <is>
          <t>ซื้อมา (กก.)</t>
        </is>
      </c>
      <c r="E5" s="4" t="inlineStr">
        <is>
          <t>จ่ายไป (บาท)</t>
        </is>
      </c>
      <c r="F5" s="4" t="inlineStr">
        <is>
          <t>กว้างทั่วไป (ซม.)</t>
        </is>
      </c>
      <c r="G5" s="4" t="inlineStr">
        <is>
          <t>ยาวทั่วไป (ซม.)</t>
        </is>
      </c>
      <c r="H5" s="4" t="inlineStr">
        <is>
          <t>ความหนา (มม.)</t>
        </is>
      </c>
      <c r="I5" s="4" t="inlineStr">
        <is>
          <t>ความหนาแน่น (ก./ลบ.ซม.)</t>
        </is>
      </c>
      <c r="J5" s="4" t="inlineStr">
        <is>
          <t>น้ำหนักต่อแผ่น ประมาณ (ก.)</t>
        </is>
      </c>
      <c r="K5" s="4" t="inlineStr">
        <is>
          <t>น้ำหนักต่อแผ่น ชั่งจริง (ก.)</t>
        </is>
      </c>
      <c r="L5" s="4" t="inlineStr">
        <is>
          <t>น้ำหนักต่อแผ่นที่ใช้ (ก.)</t>
        </is>
      </c>
      <c r="M5" s="4" t="inlineStr">
        <is>
          <t>แผ่นต่อ กก.</t>
        </is>
      </c>
    </row>
    <row r="6">
      <c r="A6" s="5" t="inlineStr">
        <is>
          <t>ใหญ่</t>
        </is>
      </c>
      <c r="B6" s="6" t="inlineStr">
        <is>
          <t>บางใหญ่ เกินฝ่ามือ 14–18 × 20 ซม. ขึ้นไป</t>
        </is>
      </c>
      <c r="C6" s="7" t="n">
        <v>95</v>
      </c>
      <c r="D6" s="8" t="n">
        <v>20</v>
      </c>
      <c r="E6" s="9">
        <f>C6*D6</f>
        <v/>
      </c>
      <c r="F6" s="10" t="n">
        <v>16</v>
      </c>
      <c r="G6" s="10" t="n">
        <v>22</v>
      </c>
      <c r="H6" s="10" t="n">
        <v>1</v>
      </c>
      <c r="I6" s="10" t="n">
        <v>0.9</v>
      </c>
      <c r="J6" s="9">
        <f>F6*G6*H6/10*I6</f>
        <v/>
      </c>
      <c r="K6" s="10" t="n"/>
      <c r="L6" s="9">
        <f>IF(K6="",J6,K6)</f>
        <v/>
      </c>
      <c r="M6" s="9">
        <f>IF(L6=0,0,1000/L6)</f>
        <v/>
      </c>
    </row>
    <row r="7">
      <c r="A7" s="5" t="inlineStr">
        <is>
          <t>เล็ก</t>
        </is>
      </c>
      <c r="B7" s="6" t="inlineStr">
        <is>
          <t>บางเล็ก เท่าฝ่ามือ 10–12 × 16–20 ซม.</t>
        </is>
      </c>
      <c r="C7" s="7" t="n">
        <v>15</v>
      </c>
      <c r="D7" s="8" t="n">
        <v>5</v>
      </c>
      <c r="E7" s="9">
        <f>C7*D7</f>
        <v/>
      </c>
      <c r="F7" s="10" t="n">
        <v>11</v>
      </c>
      <c r="G7" s="10" t="n">
        <v>18</v>
      </c>
      <c r="H7" s="10" t="n">
        <v>1</v>
      </c>
      <c r="I7" s="10" t="n">
        <v>0.9</v>
      </c>
      <c r="J7" s="9">
        <f>F7*G7*H7/10*I7</f>
        <v/>
      </c>
      <c r="K7" s="10" t="n"/>
      <c r="L7" s="9">
        <f>IF(K7="",J7,K7)</f>
        <v/>
      </c>
      <c r="M7" s="9">
        <f>IF(L7=0,0,1000/L7)</f>
        <v/>
      </c>
    </row>
    <row r="8">
      <c r="A8" s="11" t="inlineStr">
        <is>
          <t>รวม</t>
        </is>
      </c>
      <c r="D8" s="12">
        <f>SUM(D6:D7)</f>
        <v/>
      </c>
      <c r="E8" s="12">
        <f>SUM(E6:E7)</f>
        <v/>
      </c>
    </row>
    <row r="9">
      <c r="B9" s="13" t="inlineStr">
        <is>
          <t>ที่มา: ราคาและน้ำหนักที่ซื้อ ผู้ใช้แจ้ง 14 ต.ค. 2026 · ขนาดทั่วไปใช้ค่ากลางของช่วงที่แจ้ง · ความหนาและความหนาแน่นเป็นค่าประมาณ ชั่งเศษจริง 10 แผ่นแล้วกรอกน้ำหนักเฉลี่ยในคอลัมน์ K</t>
        </is>
      </c>
    </row>
    <row r="10">
      <c r="A10" s="3" t="inlineStr">
        <is>
          <t>ค่าแรงและค่าใช้จ่ายอื่น</t>
        </is>
      </c>
    </row>
    <row r="11" ht="42" customHeight="1">
      <c r="A11" s="4" t="inlineStr">
        <is>
          <t>รายการ</t>
        </is>
      </c>
      <c r="B11" s="4" t="inlineStr">
        <is>
          <t>ค่า</t>
        </is>
      </c>
      <c r="C11" s="4" t="inlineStr">
        <is>
          <t>หน่วย</t>
        </is>
      </c>
      <c r="D11" s="4" t="inlineStr">
        <is>
          <t>หมายเหตุ</t>
        </is>
      </c>
    </row>
    <row r="12">
      <c r="A12" s="14" t="inlineStr">
        <is>
          <t>ค่าแรง</t>
        </is>
      </c>
      <c r="B12" s="15" t="n">
        <v>50</v>
      </c>
      <c r="C12" s="16" t="inlineStr">
        <is>
          <t>บาท/ชม.</t>
        </is>
      </c>
      <c r="D12" s="14" t="inlineStr">
        <is>
          <t>ตัวอย่าง: 400 บาท/วัน ÷ 8 ชม. แก้เป็นค่าแรงจริง</t>
        </is>
      </c>
    </row>
    <row r="13">
      <c r="A13" s="14" t="inlineStr">
        <is>
          <t>เวลาตัด 1 ครั้ง</t>
        </is>
      </c>
      <c r="B13" s="15" t="n">
        <v>10</v>
      </c>
      <c r="C13" s="16" t="inlineStr">
        <is>
          <t>วินาที</t>
        </is>
      </c>
      <c r="D13" s="14" t="inlineStr">
        <is>
          <t>จับเวลาตอนตัดจริงแล้วแก้</t>
        </is>
      </c>
    </row>
    <row r="14">
      <c r="A14" s="14" t="inlineStr">
        <is>
          <t>เวลาประกอบ 1 รอยต่อ</t>
        </is>
      </c>
      <c r="B14" s="15" t="n">
        <v>20</v>
      </c>
      <c r="C14" s="16" t="inlineStr">
        <is>
          <t>วินาที</t>
        </is>
      </c>
      <c r="D14" s="14" t="inlineStr">
        <is>
          <t>รวมการร้อยสายหรือสอดปีก 1 จุด</t>
        </is>
      </c>
    </row>
    <row r="15">
      <c r="A15" s="14" t="inlineStr">
        <is>
          <t>เวลาเก็บงานและแพ็ค ต่อสินค้า</t>
        </is>
      </c>
      <c r="B15" s="15" t="n">
        <v>60</v>
      </c>
      <c r="C15" s="16" t="inlineStr">
        <is>
          <t>วินาที</t>
        </is>
      </c>
      <c r="D15" s="14" t="inlineStr">
        <is>
          <t>ตรวจงาน ใส่ถุงหรือกล่อง ติดป้าย</t>
        </is>
      </c>
    </row>
    <row r="16">
      <c r="A16" s="14" t="inlineStr">
        <is>
          <t>ระยะห่างระหว่าง die</t>
        </is>
      </c>
      <c r="B16" s="15" t="n">
        <v>3</v>
      </c>
      <c r="C16" s="16" t="inlineStr">
        <is>
          <t>มม.</t>
        </is>
      </c>
      <c r="D16" s="14" t="inlineStr">
        <is>
          <t>ระยะที่ต้องเว้นรอบชิ้นงานเวลาวาง die บนเศษหนัง</t>
        </is>
      </c>
    </row>
    <row r="17">
      <c r="A17" s="14" t="inlineStr">
        <is>
          <t>เผื่อเสีย (ตำหนิ ตัดพลาด เศษที่รูปทรงไม่ดี)</t>
        </is>
      </c>
      <c r="B17" s="17" t="n">
        <v>0.2</v>
      </c>
      <c r="C17" s="16" t="inlineStr">
        <is>
          <t>%</t>
        </is>
      </c>
      <c r="D17" s="14" t="inlineStr">
        <is>
          <t>ลดจำนวนชิ้นที่ตัดได้ลงตามนี้</t>
        </is>
      </c>
    </row>
    <row r="18">
      <c r="A18" s="14" t="inlineStr">
        <is>
          <t>ราคา die ต่ออัน</t>
        </is>
      </c>
      <c r="B18" s="15" t="n">
        <v>1500</v>
      </c>
      <c r="C18" s="16" t="inlineStr">
        <is>
          <t>บาท</t>
        </is>
      </c>
      <c r="D18" s="14" t="inlineStr">
        <is>
          <t>ตัวอย่าง แก้เป็นราคาที่ช่างเสนอ ถ้ายังตัดด้วยเลเซอร์ใส่ 0</t>
        </is>
      </c>
    </row>
    <row r="19">
      <c r="A19" s="14" t="inlineStr">
        <is>
          <t>จำนวนชิ้นที่จะตัดต่อ die</t>
        </is>
      </c>
      <c r="B19" s="15" t="n">
        <v>1000</v>
      </c>
      <c r="C19" s="16" t="inlineStr">
        <is>
          <t>ชิ้น</t>
        </is>
      </c>
      <c r="D19" s="14" t="inlineStr">
        <is>
          <t>ใช้เฉลี่ยค่า die ลงในแต่ละชิ้น</t>
        </is>
      </c>
    </row>
    <row r="20">
      <c r="A20" s="14" t="inlineStr">
        <is>
          <t>ค่าธรรมเนียมช่องทางขาย</t>
        </is>
      </c>
      <c r="B20" s="17" t="n">
        <v>0</v>
      </c>
      <c r="C20" s="16" t="inlineStr">
        <is>
          <t>%</t>
        </is>
      </c>
      <c r="D20" s="14" t="inlineStr">
        <is>
          <t>เช่น ค่าธรรมเนียมแพลตฟอร์มออนไลน์ ขายเองใส่ 0</t>
        </is>
      </c>
    </row>
    <row r="21">
      <c r="A21" s="14" t="inlineStr">
        <is>
          <t>ตัวคูณราคาแนะนำ</t>
        </is>
      </c>
      <c r="B21" s="10" t="n">
        <v>3</v>
      </c>
      <c r="C21" s="16" t="inlineStr">
        <is>
          <t>เท่าของต้นทุน</t>
        </is>
      </c>
      <c r="D21" s="14" t="inlineStr">
        <is>
          <t>ราคาแนะนำ = ต้นทุนรวม × ตัวคูณ แล้วปัดขึ้น</t>
        </is>
      </c>
    </row>
    <row r="22">
      <c r="A22" s="14" t="inlineStr">
        <is>
          <t>ปัดราคาแนะนำขึ้นทีละ</t>
        </is>
      </c>
      <c r="B22" s="15" t="n">
        <v>10</v>
      </c>
      <c r="C22" s="16" t="inlineStr">
        <is>
          <t>บาท</t>
        </is>
      </c>
      <c r="D22" s="14" t="inlineStr"/>
    </row>
    <row r="25">
      <c r="A25" s="3" t="inlineStr">
        <is>
          <t>วิธีใช้</t>
        </is>
      </c>
    </row>
    <row r="26">
      <c r="A26" s="18" t="inlineStr">
        <is>
          <t>1. ชั่งเศษหนังล็อตละ 10 แผ่น แล้วกรอกน้ำหนักเฉลี่ยในช่อง 'น้ำหนักต่อแผ่น ชั่งจริง'</t>
        </is>
      </c>
    </row>
    <row r="27">
      <c r="A27" s="18" t="inlineStr">
        <is>
          <t>2. ลองตัดจริงแล้วกรอกจำนวนชิ้นต่อแผ่นในแท็บ 'ต้นทุนชิ้นงาน' ถ้าต่างจากที่คำนวณ</t>
        </is>
      </c>
    </row>
    <row r="28">
      <c r="A28" s="18" t="inlineStr">
        <is>
          <t>3. แก้ค่าแรง เวลา ราคา die และค่าบรรจุภัณฑ์ให้เป็นค่าจริง</t>
        </is>
      </c>
    </row>
    <row r="29">
      <c r="A29" s="18" t="inlineStr">
        <is>
          <t>4. ใส่ราคาขายจริงในแท็บ 'ราคาขายสินค้า' แล้วดูกำไรต่อชิ้น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10" customWidth="1" min="4" max="4"/>
    <col width="11" customWidth="1" min="5" max="5"/>
    <col width="10" customWidth="1" min="6" max="6"/>
    <col width="11" customWidth="1" min="7" max="7"/>
    <col width="12" customWidth="1" min="8" max="8"/>
    <col width="11" customWidth="1" min="9" max="9"/>
    <col width="10" customWidth="1" min="10" max="10"/>
    <col width="12" customWidth="1" min="11" max="11"/>
    <col width="11" customWidth="1" min="12" max="12"/>
    <col width="11" customWidth="1" min="13" max="13"/>
    <col width="12" customWidth="1" min="14" max="14"/>
    <col width="12" customWidth="1" min="15" max="15"/>
    <col width="34" customWidth="1" min="16" max="16"/>
  </cols>
  <sheetData>
    <row r="1">
      <c r="A1" s="1" t="inlineStr">
        <is>
          <t>ต้นทุนต่อชิ้นงาน 1 ชิ้น (ตัดจาก die 1 ครั้ง)</t>
        </is>
      </c>
    </row>
    <row r="2">
      <c r="A2" s="2" t="inlineStr">
        <is>
          <t>เลือกล็อตเศษหนังในคอลัมน์ F ได้ ถ้าลองตัดจริงแล้วได้จำนวนชิ้นต่อแผ่นไม่ตรง ให้กรอกในคอลัมน์ H</t>
        </is>
      </c>
    </row>
    <row r="4" ht="42" customHeight="1">
      <c r="A4" s="4" t="inlineStr">
        <is>
          <t>แบบ</t>
        </is>
      </c>
      <c r="B4" s="4" t="inlineStr">
        <is>
          <t>ชื่อ</t>
        </is>
      </c>
      <c r="C4" s="4" t="inlineStr">
        <is>
          <t>die กว้าง (มม.)</t>
        </is>
      </c>
      <c r="D4" s="4" t="inlineStr">
        <is>
          <t>die ยาว (มม.)</t>
        </is>
      </c>
      <c r="E4" s="4" t="inlineStr">
        <is>
          <t>หนังสุทธิ (ตร.ซม.)</t>
        </is>
      </c>
      <c r="F4" s="4" t="inlineStr">
        <is>
          <t>ใช้เศษล็อต</t>
        </is>
      </c>
      <c r="G4" s="4" t="inlineStr">
        <is>
          <t>ชิ้นต่อแผ่น (คำนวณ)</t>
        </is>
      </c>
      <c r="H4" s="4" t="inlineStr">
        <is>
          <t>ชิ้นต่อแผ่น (ลองตัดจริง)</t>
        </is>
      </c>
      <c r="I4" s="4" t="inlineStr">
        <is>
          <t>ชิ้นต่อแผ่นที่ใช้</t>
        </is>
      </c>
      <c r="J4" s="4" t="inlineStr">
        <is>
          <t>ชิ้นต่อ กก.</t>
        </is>
      </c>
      <c r="K4" s="4" t="inlineStr">
        <is>
          <t>ค่าหนังต่อชิ้น (บาท)</t>
        </is>
      </c>
      <c r="L4" s="4" t="inlineStr">
        <is>
          <t>ค่าตัดต่อชิ้น (บาท)</t>
        </is>
      </c>
      <c r="M4" s="4" t="inlineStr">
        <is>
          <t>ค่า die ต่อชิ้น (บาท)</t>
        </is>
      </c>
      <c r="N4" s="4" t="inlineStr">
        <is>
          <t>ต้นทุนต่อชิ้น (บาท)</t>
        </is>
      </c>
      <c r="O4" s="4" t="inlineStr">
        <is>
          <t>ตัดได้จากล็อตที่ซื้อ (ชิ้น)</t>
        </is>
      </c>
      <c r="P4" s="4" t="inlineStr">
        <is>
          <t>หมายเหตุ</t>
        </is>
      </c>
    </row>
    <row r="5">
      <c r="A5" s="16" t="inlineStr">
        <is>
          <t>01</t>
        </is>
      </c>
      <c r="B5" s="16" t="inlineStr">
        <is>
          <t>Bear head</t>
        </is>
      </c>
      <c r="C5" s="19" t="n">
        <v>104.36</v>
      </c>
      <c r="D5" s="19" t="n">
        <v>104.36</v>
      </c>
      <c r="E5" s="19" t="n">
        <v>63.7</v>
      </c>
      <c r="F5" s="5" t="inlineStr">
        <is>
          <t>ใหญ่</t>
        </is>
      </c>
      <c r="G5" s="20">
        <f>MAX(INT(INDEX(ตั้งค่า!$F$6:$F$7,MATCH($F5,ตั้งค่า!$A$6:$A$7,0))*10/(C5+ตั้งค่า!$B$16))*INT(INDEX(ตั้งค่า!$G$6:$G$7,MATCH($F5,ตั้งค่า!$A$6:$A$7,0))*10/(D5+ตั้งค่า!$B$16)),INT(INDEX(ตั้งค่า!$F$6:$F$7,MATCH($F5,ตั้งค่า!$A$6:$A$7,0))*10/(D5+ตั้งค่า!$B$16))*INT(INDEX(ตั้งค่า!$G$6:$G$7,MATCH($F5,ตั้งค่า!$A$6:$A$7,0))*10/(C5+ตั้งค่า!$B$16)))</f>
        <v/>
      </c>
      <c r="H5" s="15" t="n"/>
      <c r="I5" s="20">
        <f>IF(H5="",G5,H5)</f>
        <v/>
      </c>
      <c r="J5" s="19">
        <f>I5*INDEX(ตั้งค่า!$M$6:$M$7,MATCH($F5,ตั้งค่า!$A$6:$A$7,0))*(1-ตั้งค่า!$B$17)</f>
        <v/>
      </c>
      <c r="K5" s="9">
        <f>IF(J5=0,0,INDEX(ตั้งค่า!$C$6:$C$7,MATCH($F5,ตั้งค่า!$A$6:$A$7,0))/J5)</f>
        <v/>
      </c>
      <c r="L5" s="9">
        <f>ตั้งค่า!$B$13/3600*ตั้งค่า!$B$12</f>
        <v/>
      </c>
      <c r="M5" s="9">
        <f>IF(ตั้งค่า!$B$19=0,0,ตั้งค่า!$B$18/ตั้งค่า!$B$19)</f>
        <v/>
      </c>
      <c r="N5" s="21">
        <f>K5+L5+M5</f>
        <v/>
      </c>
      <c r="O5" s="20">
        <f>INT(J5*INDEX(ตั้งค่า!$D$6:$D$7,MATCH($F5,ตั้งค่า!$A$6:$A$7,0)))</f>
        <v/>
      </c>
      <c r="P5" s="14">
        <f>IF(I5=0,"เศษล็อตนี้สั้นหรือแคบเกินไป ตัดชิ้นนี้ไม่ได้","")</f>
        <v/>
      </c>
    </row>
    <row r="6">
      <c r="A6" s="16" t="inlineStr">
        <is>
          <t>01-S 200</t>
        </is>
      </c>
      <c r="B6" s="16" t="inlineStr">
        <is>
          <t>สายหัวใจ 200 mm</t>
        </is>
      </c>
      <c r="C6" s="19" t="n">
        <v>200</v>
      </c>
      <c r="D6" s="19" t="n">
        <v>22</v>
      </c>
      <c r="E6" s="19" t="n">
        <v>26</v>
      </c>
      <c r="F6" s="5" t="inlineStr">
        <is>
          <t>ใหญ่</t>
        </is>
      </c>
      <c r="G6" s="20">
        <f>MAX(INT(INDEX(ตั้งค่า!$F$6:$F$7,MATCH($F6,ตั้งค่า!$A$6:$A$7,0))*10/(C6+ตั้งค่า!$B$16))*INT(INDEX(ตั้งค่า!$G$6:$G$7,MATCH($F6,ตั้งค่า!$A$6:$A$7,0))*10/(D6+ตั้งค่า!$B$16)),INT(INDEX(ตั้งค่า!$F$6:$F$7,MATCH($F6,ตั้งค่า!$A$6:$A$7,0))*10/(D6+ตั้งค่า!$B$16))*INT(INDEX(ตั้งค่า!$G$6:$G$7,MATCH($F6,ตั้งค่า!$A$6:$A$7,0))*10/(C6+ตั้งค่า!$B$16)))</f>
        <v/>
      </c>
      <c r="H6" s="15" t="n"/>
      <c r="I6" s="20">
        <f>IF(H6="",G6,H6)</f>
        <v/>
      </c>
      <c r="J6" s="19">
        <f>I6*INDEX(ตั้งค่า!$M$6:$M$7,MATCH($F6,ตั้งค่า!$A$6:$A$7,0))*(1-ตั้งค่า!$B$17)</f>
        <v/>
      </c>
      <c r="K6" s="9">
        <f>IF(J6=0,0,INDEX(ตั้งค่า!$C$6:$C$7,MATCH($F6,ตั้งค่า!$A$6:$A$7,0))/J6)</f>
        <v/>
      </c>
      <c r="L6" s="9">
        <f>ตั้งค่า!$B$13/3600*ตั้งค่า!$B$12</f>
        <v/>
      </c>
      <c r="M6" s="9">
        <f>IF(ตั้งค่า!$B$19=0,0,ตั้งค่า!$B$18/ตั้งค่า!$B$19)</f>
        <v/>
      </c>
      <c r="N6" s="21">
        <f>K6+L6+M6</f>
        <v/>
      </c>
      <c r="O6" s="20">
        <f>INT(J6*INDEX(ตั้งค่า!$D$6:$D$7,MATCH($F6,ตั้งค่า!$A$6:$A$7,0)))</f>
        <v/>
      </c>
      <c r="P6" s="14">
        <f>IF(I6=0,"เศษล็อตนี้สั้นหรือแคบเกินไป ตัดชิ้นนี้ไม่ได้","")</f>
        <v/>
      </c>
    </row>
    <row r="7">
      <c r="A7" s="16" t="inlineStr">
        <is>
          <t>01-S 250</t>
        </is>
      </c>
      <c r="B7" s="16" t="inlineStr">
        <is>
          <t>สายหัวใจ 250 mm</t>
        </is>
      </c>
      <c r="C7" s="19" t="n">
        <v>250</v>
      </c>
      <c r="D7" s="19" t="n">
        <v>22</v>
      </c>
      <c r="E7" s="19" t="n">
        <v>32.5</v>
      </c>
      <c r="F7" s="5" t="inlineStr">
        <is>
          <t>ใหญ่</t>
        </is>
      </c>
      <c r="G7" s="20">
        <f>MAX(INT(INDEX(ตั้งค่า!$F$6:$F$7,MATCH($F7,ตั้งค่า!$A$6:$A$7,0))*10/(C7+ตั้งค่า!$B$16))*INT(INDEX(ตั้งค่า!$G$6:$G$7,MATCH($F7,ตั้งค่า!$A$6:$A$7,0))*10/(D7+ตั้งค่า!$B$16)),INT(INDEX(ตั้งค่า!$F$6:$F$7,MATCH($F7,ตั้งค่า!$A$6:$A$7,0))*10/(D7+ตั้งค่า!$B$16))*INT(INDEX(ตั้งค่า!$G$6:$G$7,MATCH($F7,ตั้งค่า!$A$6:$A$7,0))*10/(C7+ตั้งค่า!$B$16)))</f>
        <v/>
      </c>
      <c r="H7" s="15" t="n"/>
      <c r="I7" s="20">
        <f>IF(H7="",G7,H7)</f>
        <v/>
      </c>
      <c r="J7" s="19">
        <f>I7*INDEX(ตั้งค่า!$M$6:$M$7,MATCH($F7,ตั้งค่า!$A$6:$A$7,0))*(1-ตั้งค่า!$B$17)</f>
        <v/>
      </c>
      <c r="K7" s="9">
        <f>IF(J7=0,0,INDEX(ตั้งค่า!$C$6:$C$7,MATCH($F7,ตั้งค่า!$A$6:$A$7,0))/J7)</f>
        <v/>
      </c>
      <c r="L7" s="9">
        <f>ตั้งค่า!$B$13/3600*ตั้งค่า!$B$12</f>
        <v/>
      </c>
      <c r="M7" s="9">
        <f>IF(ตั้งค่า!$B$19=0,0,ตั้งค่า!$B$18/ตั้งค่า!$B$19)</f>
        <v/>
      </c>
      <c r="N7" s="21">
        <f>K7+L7+M7</f>
        <v/>
      </c>
      <c r="O7" s="20">
        <f>INT(J7*INDEX(ตั้งค่า!$D$6:$D$7,MATCH($F7,ตั้งค่า!$A$6:$A$7,0)))</f>
        <v/>
      </c>
      <c r="P7" s="14">
        <f>IF(I7=0,"เศษล็อตนี้สั้นหรือแคบเกินไป ตัดชิ้นนี้ไม่ได้","")</f>
        <v/>
      </c>
    </row>
    <row r="8">
      <c r="A8" s="16" t="inlineStr">
        <is>
          <t>02</t>
        </is>
      </c>
      <c r="B8" s="16" t="inlineStr">
        <is>
          <t>Pinwheel</t>
        </is>
      </c>
      <c r="C8" s="19" t="n">
        <v>90</v>
      </c>
      <c r="D8" s="19" t="n">
        <v>90</v>
      </c>
      <c r="E8" s="19" t="n">
        <v>57.3</v>
      </c>
      <c r="F8" s="5" t="inlineStr">
        <is>
          <t>เล็ก</t>
        </is>
      </c>
      <c r="G8" s="20">
        <f>MAX(INT(INDEX(ตั้งค่า!$F$6:$F$7,MATCH($F8,ตั้งค่า!$A$6:$A$7,0))*10/(C8+ตั้งค่า!$B$16))*INT(INDEX(ตั้งค่า!$G$6:$G$7,MATCH($F8,ตั้งค่า!$A$6:$A$7,0))*10/(D8+ตั้งค่า!$B$16)),INT(INDEX(ตั้งค่า!$F$6:$F$7,MATCH($F8,ตั้งค่า!$A$6:$A$7,0))*10/(D8+ตั้งค่า!$B$16))*INT(INDEX(ตั้งค่า!$G$6:$G$7,MATCH($F8,ตั้งค่า!$A$6:$A$7,0))*10/(C8+ตั้งค่า!$B$16)))</f>
        <v/>
      </c>
      <c r="H8" s="15" t="n"/>
      <c r="I8" s="20">
        <f>IF(H8="",G8,H8)</f>
        <v/>
      </c>
      <c r="J8" s="19">
        <f>I8*INDEX(ตั้งค่า!$M$6:$M$7,MATCH($F8,ตั้งค่า!$A$6:$A$7,0))*(1-ตั้งค่า!$B$17)</f>
        <v/>
      </c>
      <c r="K8" s="9">
        <f>IF(J8=0,0,INDEX(ตั้งค่า!$C$6:$C$7,MATCH($F8,ตั้งค่า!$A$6:$A$7,0))/J8)</f>
        <v/>
      </c>
      <c r="L8" s="9">
        <f>ตั้งค่า!$B$13/3600*ตั้งค่า!$B$12</f>
        <v/>
      </c>
      <c r="M8" s="9">
        <f>IF(ตั้งค่า!$B$19=0,0,ตั้งค่า!$B$18/ตั้งค่า!$B$19)</f>
        <v/>
      </c>
      <c r="N8" s="21">
        <f>K8+L8+M8</f>
        <v/>
      </c>
      <c r="O8" s="20">
        <f>INT(J8*INDEX(ตั้งค่า!$D$6:$D$7,MATCH($F8,ตั้งค่า!$A$6:$A$7,0)))</f>
        <v/>
      </c>
      <c r="P8" s="14">
        <f>IF(I8=0,"เศษล็อตนี้สั้นหรือแคบเกินไป ตัดชิ้นนี้ไม่ได้","")</f>
        <v/>
      </c>
    </row>
    <row r="9">
      <c r="A9" s="16" t="inlineStr">
        <is>
          <t>03</t>
        </is>
      </c>
      <c r="B9" s="16" t="inlineStr">
        <is>
          <t>Capsule cross</t>
        </is>
      </c>
      <c r="C9" s="19" t="n">
        <v>90</v>
      </c>
      <c r="D9" s="19" t="n">
        <v>90</v>
      </c>
      <c r="E9" s="19" t="n">
        <v>52.1</v>
      </c>
      <c r="F9" s="5" t="inlineStr">
        <is>
          <t>เล็ก</t>
        </is>
      </c>
      <c r="G9" s="20">
        <f>MAX(INT(INDEX(ตั้งค่า!$F$6:$F$7,MATCH($F9,ตั้งค่า!$A$6:$A$7,0))*10/(C9+ตั้งค่า!$B$16))*INT(INDEX(ตั้งค่า!$G$6:$G$7,MATCH($F9,ตั้งค่า!$A$6:$A$7,0))*10/(D9+ตั้งค่า!$B$16)),INT(INDEX(ตั้งค่า!$F$6:$F$7,MATCH($F9,ตั้งค่า!$A$6:$A$7,0))*10/(D9+ตั้งค่า!$B$16))*INT(INDEX(ตั้งค่า!$G$6:$G$7,MATCH($F9,ตั้งค่า!$A$6:$A$7,0))*10/(C9+ตั้งค่า!$B$16)))</f>
        <v/>
      </c>
      <c r="H9" s="15" t="n"/>
      <c r="I9" s="20">
        <f>IF(H9="",G9,H9)</f>
        <v/>
      </c>
      <c r="J9" s="19">
        <f>I9*INDEX(ตั้งค่า!$M$6:$M$7,MATCH($F9,ตั้งค่า!$A$6:$A$7,0))*(1-ตั้งค่า!$B$17)</f>
        <v/>
      </c>
      <c r="K9" s="9">
        <f>IF(J9=0,0,INDEX(ตั้งค่า!$C$6:$C$7,MATCH($F9,ตั้งค่า!$A$6:$A$7,0))/J9)</f>
        <v/>
      </c>
      <c r="L9" s="9">
        <f>ตั้งค่า!$B$13/3600*ตั้งค่า!$B$12</f>
        <v/>
      </c>
      <c r="M9" s="9">
        <f>IF(ตั้งค่า!$B$19=0,0,ตั้งค่า!$B$18/ตั้งค่า!$B$19)</f>
        <v/>
      </c>
      <c r="N9" s="21">
        <f>K9+L9+M9</f>
        <v/>
      </c>
      <c r="O9" s="20">
        <f>INT(J9*INDEX(ตั้งค่า!$D$6:$D$7,MATCH($F9,ตั้งค่า!$A$6:$A$7,0)))</f>
        <v/>
      </c>
      <c r="P9" s="14">
        <f>IF(I9=0,"เศษล็อตนี้สั้นหรือแคบเกินไป ตัดชิ้นนี้ไม่ได้","")</f>
        <v/>
      </c>
    </row>
    <row r="10">
      <c r="A10" s="16" t="inlineStr">
        <is>
          <t>04</t>
        </is>
      </c>
      <c r="B10" s="16" t="inlineStr">
        <is>
          <t>Rounded square</t>
        </is>
      </c>
      <c r="C10" s="19" t="n">
        <v>90</v>
      </c>
      <c r="D10" s="19" t="n">
        <v>90</v>
      </c>
      <c r="E10" s="19" t="n">
        <v>80.8</v>
      </c>
      <c r="F10" s="5" t="inlineStr">
        <is>
          <t>เล็ก</t>
        </is>
      </c>
      <c r="G10" s="20">
        <f>MAX(INT(INDEX(ตั้งค่า!$F$6:$F$7,MATCH($F10,ตั้งค่า!$A$6:$A$7,0))*10/(C10+ตั้งค่า!$B$16))*INT(INDEX(ตั้งค่า!$G$6:$G$7,MATCH($F10,ตั้งค่า!$A$6:$A$7,0))*10/(D10+ตั้งค่า!$B$16)),INT(INDEX(ตั้งค่า!$F$6:$F$7,MATCH($F10,ตั้งค่า!$A$6:$A$7,0))*10/(D10+ตั้งค่า!$B$16))*INT(INDEX(ตั้งค่า!$G$6:$G$7,MATCH($F10,ตั้งค่า!$A$6:$A$7,0))*10/(C10+ตั้งค่า!$B$16)))</f>
        <v/>
      </c>
      <c r="H10" s="15" t="n"/>
      <c r="I10" s="20">
        <f>IF(H10="",G10,H10)</f>
        <v/>
      </c>
      <c r="J10" s="19">
        <f>I10*INDEX(ตั้งค่า!$M$6:$M$7,MATCH($F10,ตั้งค่า!$A$6:$A$7,0))*(1-ตั้งค่า!$B$17)</f>
        <v/>
      </c>
      <c r="K10" s="9">
        <f>IF(J10=0,0,INDEX(ตั้งค่า!$C$6:$C$7,MATCH($F10,ตั้งค่า!$A$6:$A$7,0))/J10)</f>
        <v/>
      </c>
      <c r="L10" s="9">
        <f>ตั้งค่า!$B$13/3600*ตั้งค่า!$B$12</f>
        <v/>
      </c>
      <c r="M10" s="9">
        <f>IF(ตั้งค่า!$B$19=0,0,ตั้งค่า!$B$18/ตั้งค่า!$B$19)</f>
        <v/>
      </c>
      <c r="N10" s="21">
        <f>K10+L10+M10</f>
        <v/>
      </c>
      <c r="O10" s="20">
        <f>INT(J10*INDEX(ตั้งค่า!$D$6:$D$7,MATCH($F10,ตั้งค่า!$A$6:$A$7,0)))</f>
        <v/>
      </c>
      <c r="P10" s="14">
        <f>IF(I10=0,"เศษล็อตนี้สั้นหรือแคบเกินไป ตัดชิ้นนี้ไม่ได้","")</f>
        <v/>
      </c>
    </row>
    <row r="11">
      <c r="A11" s="16" t="inlineStr">
        <is>
          <t>05</t>
        </is>
      </c>
      <c r="B11" s="16" t="inlineStr">
        <is>
          <t>Circle</t>
        </is>
      </c>
      <c r="C11" s="19" t="n">
        <v>90</v>
      </c>
      <c r="D11" s="19" t="n">
        <v>90</v>
      </c>
      <c r="E11" s="19" t="n">
        <v>63.6</v>
      </c>
      <c r="F11" s="5" t="inlineStr">
        <is>
          <t>เล็ก</t>
        </is>
      </c>
      <c r="G11" s="20">
        <f>MAX(INT(INDEX(ตั้งค่า!$F$6:$F$7,MATCH($F11,ตั้งค่า!$A$6:$A$7,0))*10/(C11+ตั้งค่า!$B$16))*INT(INDEX(ตั้งค่า!$G$6:$G$7,MATCH($F11,ตั้งค่า!$A$6:$A$7,0))*10/(D11+ตั้งค่า!$B$16)),INT(INDEX(ตั้งค่า!$F$6:$F$7,MATCH($F11,ตั้งค่า!$A$6:$A$7,0))*10/(D11+ตั้งค่า!$B$16))*INT(INDEX(ตั้งค่า!$G$6:$G$7,MATCH($F11,ตั้งค่า!$A$6:$A$7,0))*10/(C11+ตั้งค่า!$B$16)))</f>
        <v/>
      </c>
      <c r="H11" s="15" t="n"/>
      <c r="I11" s="20">
        <f>IF(H11="",G11,H11)</f>
        <v/>
      </c>
      <c r="J11" s="19">
        <f>I11*INDEX(ตั้งค่า!$M$6:$M$7,MATCH($F11,ตั้งค่า!$A$6:$A$7,0))*(1-ตั้งค่า!$B$17)</f>
        <v/>
      </c>
      <c r="K11" s="9">
        <f>IF(J11=0,0,INDEX(ตั้งค่า!$C$6:$C$7,MATCH($F11,ตั้งค่า!$A$6:$A$7,0))/J11)</f>
        <v/>
      </c>
      <c r="L11" s="9">
        <f>ตั้งค่า!$B$13/3600*ตั้งค่า!$B$12</f>
        <v/>
      </c>
      <c r="M11" s="9">
        <f>IF(ตั้งค่า!$B$19=0,0,ตั้งค่า!$B$18/ตั้งค่า!$B$19)</f>
        <v/>
      </c>
      <c r="N11" s="21">
        <f>K11+L11+M11</f>
        <v/>
      </c>
      <c r="O11" s="20">
        <f>INT(J11*INDEX(ตั้งค่า!$D$6:$D$7,MATCH($F11,ตั้งค่า!$A$6:$A$7,0)))</f>
        <v/>
      </c>
      <c r="P11" s="14">
        <f>IF(I11=0,"เศษล็อตนี้สั้นหรือแคบเกินไป ตัดชิ้นนี้ไม่ได้","")</f>
        <v/>
      </c>
    </row>
    <row r="12">
      <c r="A12" s="16" t="inlineStr">
        <is>
          <t>06</t>
        </is>
      </c>
      <c r="B12" s="16" t="inlineStr">
        <is>
          <t>Soft cross</t>
        </is>
      </c>
      <c r="C12" s="19" t="n">
        <v>90</v>
      </c>
      <c r="D12" s="19" t="n">
        <v>90</v>
      </c>
      <c r="E12" s="19" t="n">
        <v>48.1</v>
      </c>
      <c r="F12" s="5" t="inlineStr">
        <is>
          <t>เล็ก</t>
        </is>
      </c>
      <c r="G12" s="20">
        <f>MAX(INT(INDEX(ตั้งค่า!$F$6:$F$7,MATCH($F12,ตั้งค่า!$A$6:$A$7,0))*10/(C12+ตั้งค่า!$B$16))*INT(INDEX(ตั้งค่า!$G$6:$G$7,MATCH($F12,ตั้งค่า!$A$6:$A$7,0))*10/(D12+ตั้งค่า!$B$16)),INT(INDEX(ตั้งค่า!$F$6:$F$7,MATCH($F12,ตั้งค่า!$A$6:$A$7,0))*10/(D12+ตั้งค่า!$B$16))*INT(INDEX(ตั้งค่า!$G$6:$G$7,MATCH($F12,ตั้งค่า!$A$6:$A$7,0))*10/(C12+ตั้งค่า!$B$16)))</f>
        <v/>
      </c>
      <c r="H12" s="15" t="n"/>
      <c r="I12" s="20">
        <f>IF(H12="",G12,H12)</f>
        <v/>
      </c>
      <c r="J12" s="19">
        <f>I12*INDEX(ตั้งค่า!$M$6:$M$7,MATCH($F12,ตั้งค่า!$A$6:$A$7,0))*(1-ตั้งค่า!$B$17)</f>
        <v/>
      </c>
      <c r="K12" s="9">
        <f>IF(J12=0,0,INDEX(ตั้งค่า!$C$6:$C$7,MATCH($F12,ตั้งค่า!$A$6:$A$7,0))/J12)</f>
        <v/>
      </c>
      <c r="L12" s="9">
        <f>ตั้งค่า!$B$13/3600*ตั้งค่า!$B$12</f>
        <v/>
      </c>
      <c r="M12" s="9">
        <f>IF(ตั้งค่า!$B$19=0,0,ตั้งค่า!$B$18/ตั้งค่า!$B$19)</f>
        <v/>
      </c>
      <c r="N12" s="21">
        <f>K12+L12+M12</f>
        <v/>
      </c>
      <c r="O12" s="20">
        <f>INT(J12*INDEX(ตั้งค่า!$D$6:$D$7,MATCH($F12,ตั้งค่า!$A$6:$A$7,0)))</f>
        <v/>
      </c>
      <c r="P12" s="14">
        <f>IF(I12=0,"เศษล็อตนี้สั้นหรือแคบเกินไป ตัดชิ้นนี้ไม่ได้","")</f>
        <v/>
      </c>
    </row>
    <row r="14">
      <c r="A14" s="13" t="inlineStr">
        <is>
          <t>ที่มา: ขนาด die และพื้นที่หนังสุทธิคำนวณจากไฟล์ DXF ชุด rev 20261014 · ชิ้นต่อแผ่นคำนวณจากขนาดเศษทั่วไปในแท็บ 'ตั้งค่า' บวกระยะห่าง die</t>
        </is>
      </c>
    </row>
  </sheetData>
  <dataValidations count="1">
    <dataValidation sqref="F5 F6 F7 F8 F9 F10 F11 F12" showDropDown="0" showInputMessage="0" showErrorMessage="0" allowBlank="0" type="list">
      <formula1>"ใหญ่,เล็ก"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1" customWidth="1" min="11" max="11"/>
    <col width="8" customWidth="1" min="12" max="12"/>
    <col width="8" customWidth="1" min="13" max="13"/>
    <col width="10" customWidth="1" min="14" max="14"/>
    <col width="11" customWidth="1" min="15" max="15"/>
    <col width="10" customWidth="1" min="16" max="16"/>
    <col width="11" customWidth="1" min="17" max="17"/>
    <col width="12" customWidth="1" min="18" max="18"/>
    <col width="12" customWidth="1" min="19" max="19"/>
    <col width="12" customWidth="1" min="20" max="20"/>
    <col width="12" customWidth="1" min="21" max="21"/>
    <col width="11" customWidth="1" min="22" max="22"/>
    <col width="12" customWidth="1" min="23" max="23"/>
    <col width="9" customWidth="1" min="24" max="24"/>
    <col width="40" customWidth="1" min="25" max="25"/>
  </cols>
  <sheetData>
    <row r="1">
      <c r="A1" s="1" t="inlineStr">
        <is>
          <t>ราคาขายและกำไรต่อสินค้า</t>
        </is>
      </c>
    </row>
    <row r="2">
      <c r="A2" s="2" t="inlineStr">
        <is>
          <t>ใส่ราคาขายจริงในคอลัมน์ T ถ้าเว้นว่าง จะใช้ราคาแนะนำ · แถว 3 ดึงต้นทุนต่อชิ้นมาจากแท็บ 'ต้นทุนชิ้นงาน'</t>
        </is>
      </c>
    </row>
    <row r="3">
      <c r="B3" s="11" t="inlineStr">
        <is>
          <t>ต้นทุนต่อชิ้น (บาท)</t>
        </is>
      </c>
      <c r="C3" s="22">
        <f>'ต้นทุนชิ้นงาน'!N5</f>
        <v/>
      </c>
      <c r="D3" s="22">
        <f>'ต้นทุนชิ้นงาน'!N6</f>
        <v/>
      </c>
      <c r="E3" s="22">
        <f>'ต้นทุนชิ้นงาน'!N7</f>
        <v/>
      </c>
      <c r="F3" s="22">
        <f>'ต้นทุนชิ้นงาน'!N8</f>
        <v/>
      </c>
      <c r="G3" s="22">
        <f>'ต้นทุนชิ้นงาน'!N9</f>
        <v/>
      </c>
      <c r="H3" s="22">
        <f>'ต้นทุนชิ้นงาน'!N10</f>
        <v/>
      </c>
      <c r="I3" s="22">
        <f>'ต้นทุนชิ้นงาน'!N11</f>
        <v/>
      </c>
      <c r="J3" s="22">
        <f>'ต้นทุนชิ้นงาน'!N12</f>
        <v/>
      </c>
    </row>
    <row r="4" ht="42" customHeight="1">
      <c r="A4" s="4" t="inlineStr">
        <is>
          <t>#</t>
        </is>
      </c>
      <c r="B4" s="4" t="inlineStr">
        <is>
          <t>สินค้า</t>
        </is>
      </c>
      <c r="C4" s="4" t="inlineStr">
        <is>
          <t>ใช้แบบ 01 (ชิ้น)</t>
        </is>
      </c>
      <c r="D4" s="4" t="inlineStr">
        <is>
          <t>ใช้แบบ 01-S 200 (ชิ้น)</t>
        </is>
      </c>
      <c r="E4" s="4" t="inlineStr">
        <is>
          <t>ใช้แบบ 01-S 250 (ชิ้น)</t>
        </is>
      </c>
      <c r="F4" s="4" t="inlineStr">
        <is>
          <t>ใช้แบบ 02 (ชิ้น)</t>
        </is>
      </c>
      <c r="G4" s="4" t="inlineStr">
        <is>
          <t>ใช้แบบ 03 (ชิ้น)</t>
        </is>
      </c>
      <c r="H4" s="4" t="inlineStr">
        <is>
          <t>ใช้แบบ 04 (ชิ้น)</t>
        </is>
      </c>
      <c r="I4" s="4" t="inlineStr">
        <is>
          <t>ใช้แบบ 05 (ชิ้น)</t>
        </is>
      </c>
      <c r="J4" s="4" t="inlineStr">
        <is>
          <t>ใช้แบบ 06 (ชิ้น)</t>
        </is>
      </c>
      <c r="K4" s="4" t="inlineStr">
        <is>
          <t>ค่าชิ้นงาน (บาท)</t>
        </is>
      </c>
      <c r="L4" s="4" t="inlineStr">
        <is>
          <t>ครั้งที่ตัด</t>
        </is>
      </c>
      <c r="M4" s="4" t="inlineStr">
        <is>
          <t>รอยต่อ</t>
        </is>
      </c>
      <c r="N4" s="4" t="inlineStr">
        <is>
          <t>ค่าประกอบ (บาท)</t>
        </is>
      </c>
      <c r="O4" s="4" t="inlineStr">
        <is>
          <t>ค่าเก็บงานและแพ็ค (บาท)</t>
        </is>
      </c>
      <c r="P4" s="4" t="inlineStr">
        <is>
          <t>ชิ้นเสริม (บาท)</t>
        </is>
      </c>
      <c r="Q4" s="4" t="inlineStr">
        <is>
          <t>บรรจุภัณฑ์ (บาท)</t>
        </is>
      </c>
      <c r="R4" s="4" t="inlineStr">
        <is>
          <t>ต้นทุนรวม (บาท)</t>
        </is>
      </c>
      <c r="S4" s="4" t="inlineStr">
        <is>
          <t>ราคาแนะนำ (บาท)</t>
        </is>
      </c>
      <c r="T4" s="4" t="inlineStr">
        <is>
          <t>ราคาขาย (กรอก)</t>
        </is>
      </c>
      <c r="U4" s="4" t="inlineStr">
        <is>
          <t>ราคาที่ใช้ (บาท)</t>
        </is>
      </c>
      <c r="V4" s="4" t="inlineStr">
        <is>
          <t>ค่าธรรมเนียม (บาท)</t>
        </is>
      </c>
      <c r="W4" s="4" t="inlineStr">
        <is>
          <t>กำไรต่อชิ้น (บาท)</t>
        </is>
      </c>
      <c r="X4" s="4" t="inlineStr">
        <is>
          <t>กำไร %</t>
        </is>
      </c>
      <c r="Y4" s="4" t="inlineStr">
        <is>
          <t>หมายเหตุ</t>
        </is>
      </c>
    </row>
    <row r="5">
      <c r="A5" s="20" t="n">
        <v>1</v>
      </c>
      <c r="B5" s="14" t="inlineStr">
        <is>
          <t>ที่เก็บสายชาร์จหมี</t>
        </is>
      </c>
      <c r="C5" s="23" t="n">
        <v>1</v>
      </c>
      <c r="D5" s="23" t="n"/>
      <c r="E5" s="23" t="n"/>
      <c r="F5" s="23" t="n"/>
      <c r="G5" s="23" t="n"/>
      <c r="H5" s="23" t="n"/>
      <c r="I5" s="23" t="n"/>
      <c r="J5" s="23" t="n"/>
      <c r="K5" s="9">
        <f>SUMPRODUCT($C$3:$J$3,C5:J5)</f>
        <v/>
      </c>
      <c r="L5" s="20">
        <f>SUM(C5:J5)</f>
        <v/>
      </c>
      <c r="M5" s="23" t="n">
        <v>0</v>
      </c>
      <c r="N5" s="9">
        <f>M5*ตั้งค่า!$B$14/3600*ตั้งค่า!$B$12</f>
        <v/>
      </c>
      <c r="O5" s="9">
        <f>ตั้งค่า!$B$15/3600*ตั้งค่า!$B$12</f>
        <v/>
      </c>
      <c r="P5" s="24" t="n">
        <v>0</v>
      </c>
      <c r="Q5" s="24" t="n">
        <v>5</v>
      </c>
      <c r="R5" s="21">
        <f>K5+N5+O5+P5+Q5</f>
        <v/>
      </c>
      <c r="S5" s="9">
        <f>CEILING(R5*ตั้งค่า!$B$21,ตั้งค่า!$B$22)</f>
        <v/>
      </c>
      <c r="T5" s="24" t="n"/>
      <c r="U5" s="9">
        <f>IF(T5="",S5,T5)</f>
        <v/>
      </c>
      <c r="V5" s="9">
        <f>U5*ตั้งค่า!$B$20</f>
        <v/>
      </c>
      <c r="W5" s="21">
        <f>U5-R5-V5</f>
        <v/>
      </c>
      <c r="X5" s="25">
        <f>IF(U5=0,0,W5/U5)</f>
        <v/>
      </c>
      <c r="Y5" s="14">
        <f>IF(AND(E5&gt;0,'ต้นทุนชิ้นงาน'!I7=0),"สาย 250 mm ตัดจากเศษขนาดนี้ไม่ได้ ต้องใช้เศษยาว 25.5 ซม. ขึ้นไป","")</f>
        <v/>
      </c>
    </row>
    <row r="6">
      <c r="A6" s="20" t="n">
        <v>2</v>
      </c>
      <c r="B6" s="14" t="inlineStr">
        <is>
          <t>ที่คั่นหนังสือเหน็บมุมหน้า</t>
        </is>
      </c>
      <c r="C6" s="23" t="n">
        <v>1</v>
      </c>
      <c r="D6" s="23" t="n"/>
      <c r="E6" s="23" t="n"/>
      <c r="F6" s="23" t="n"/>
      <c r="G6" s="23" t="n"/>
      <c r="H6" s="23" t="n"/>
      <c r="I6" s="23" t="n"/>
      <c r="J6" s="23" t="n"/>
      <c r="K6" s="9">
        <f>SUMPRODUCT($C$3:$J$3,C6:J6)</f>
        <v/>
      </c>
      <c r="L6" s="20">
        <f>SUM(C6:J6)</f>
        <v/>
      </c>
      <c r="M6" s="23" t="n">
        <v>0</v>
      </c>
      <c r="N6" s="9">
        <f>M6*ตั้งค่า!$B$14/3600*ตั้งค่า!$B$12</f>
        <v/>
      </c>
      <c r="O6" s="9">
        <f>ตั้งค่า!$B$15/3600*ตั้งค่า!$B$12</f>
        <v/>
      </c>
      <c r="P6" s="24" t="n">
        <v>0</v>
      </c>
      <c r="Q6" s="24" t="n">
        <v>5</v>
      </c>
      <c r="R6" s="21">
        <f>K6+N6+O6+P6+Q6</f>
        <v/>
      </c>
      <c r="S6" s="9">
        <f>CEILING(R6*ตั้งค่า!$B$21,ตั้งค่า!$B$22)</f>
        <v/>
      </c>
      <c r="T6" s="24" t="n"/>
      <c r="U6" s="9">
        <f>IF(T6="",S6,T6)</f>
        <v/>
      </c>
      <c r="V6" s="9">
        <f>U6*ตั้งค่า!$B$20</f>
        <v/>
      </c>
      <c r="W6" s="21">
        <f>U6-R6-V6</f>
        <v/>
      </c>
      <c r="X6" s="25">
        <f>IF(U6=0,0,W6/U6)</f>
        <v/>
      </c>
      <c r="Y6" s="14">
        <f>IF(AND(E6&gt;0,'ต้นทุนชิ้นงาน'!I7=0),"สาย 250 mm ตัดจากเศษขนาดนี้ไม่ได้ ต้องใช้เศษยาว 25.5 ซม. ขึ้นไป","")</f>
        <v/>
      </c>
    </row>
    <row r="7">
      <c r="A7" s="20" t="n">
        <v>3</v>
      </c>
      <c r="B7" s="14" t="inlineStr">
        <is>
          <t>ป้ายชื่อติดกระเป๋านักเรียน</t>
        </is>
      </c>
      <c r="C7" s="23" t="n">
        <v>1</v>
      </c>
      <c r="D7" s="23" t="n"/>
      <c r="E7" s="23" t="n">
        <v>1</v>
      </c>
      <c r="F7" s="23" t="n"/>
      <c r="G7" s="23" t="n"/>
      <c r="H7" s="23" t="n"/>
      <c r="I7" s="23" t="n"/>
      <c r="J7" s="23" t="n"/>
      <c r="K7" s="9">
        <f>SUMPRODUCT($C$3:$J$3,C7:J7)</f>
        <v/>
      </c>
      <c r="L7" s="20">
        <f>SUM(C7:J7)</f>
        <v/>
      </c>
      <c r="M7" s="23" t="n">
        <v>2</v>
      </c>
      <c r="N7" s="9">
        <f>M7*ตั้งค่า!$B$14/3600*ตั้งค่า!$B$12</f>
        <v/>
      </c>
      <c r="O7" s="9">
        <f>ตั้งค่า!$B$15/3600*ตั้งค่า!$B$12</f>
        <v/>
      </c>
      <c r="P7" s="24" t="n">
        <v>0</v>
      </c>
      <c r="Q7" s="24" t="n">
        <v>5</v>
      </c>
      <c r="R7" s="21">
        <f>K7+N7+O7+P7+Q7</f>
        <v/>
      </c>
      <c r="S7" s="9">
        <f>CEILING(R7*ตั้งค่า!$B$21,ตั้งค่า!$B$22)</f>
        <v/>
      </c>
      <c r="T7" s="24" t="n"/>
      <c r="U7" s="9">
        <f>IF(T7="",S7,T7)</f>
        <v/>
      </c>
      <c r="V7" s="9">
        <f>U7*ตั้งค่า!$B$20</f>
        <v/>
      </c>
      <c r="W7" s="21">
        <f>U7-R7-V7</f>
        <v/>
      </c>
      <c r="X7" s="25">
        <f>IF(U7=0,0,W7/U7)</f>
        <v/>
      </c>
      <c r="Y7" s="14">
        <f>IF(AND(E7&gt;0,'ต้นทุนชิ้นงาน'!I7=0),"สาย 250 mm ตัดจากเศษขนาดนี้ไม่ได้ ต้องใช้เศษยาว 25.5 ซม. ขึ้นไป","")</f>
        <v/>
      </c>
    </row>
    <row r="8">
      <c r="A8" s="20" t="n">
        <v>4</v>
      </c>
      <c r="B8" s="14" t="inlineStr">
        <is>
          <t>ห่วงผ้าเช็ดปากหมี</t>
        </is>
      </c>
      <c r="C8" s="23" t="n">
        <v>1</v>
      </c>
      <c r="D8" s="23" t="n">
        <v>1</v>
      </c>
      <c r="E8" s="23" t="n"/>
      <c r="F8" s="23" t="n"/>
      <c r="G8" s="23" t="n"/>
      <c r="H8" s="23" t="n"/>
      <c r="I8" s="23" t="n"/>
      <c r="J8" s="23" t="n"/>
      <c r="K8" s="9">
        <f>SUMPRODUCT($C$3:$J$3,C8:J8)</f>
        <v/>
      </c>
      <c r="L8" s="20">
        <f>SUM(C8:J8)</f>
        <v/>
      </c>
      <c r="M8" s="23" t="n">
        <v>2</v>
      </c>
      <c r="N8" s="9">
        <f>M8*ตั้งค่า!$B$14/3600*ตั้งค่า!$B$12</f>
        <v/>
      </c>
      <c r="O8" s="9">
        <f>ตั้งค่า!$B$15/3600*ตั้งค่า!$B$12</f>
        <v/>
      </c>
      <c r="P8" s="24" t="n">
        <v>0</v>
      </c>
      <c r="Q8" s="24" t="n">
        <v>5</v>
      </c>
      <c r="R8" s="21">
        <f>K8+N8+O8+P8+Q8</f>
        <v/>
      </c>
      <c r="S8" s="9">
        <f>CEILING(R8*ตั้งค่า!$B$21,ตั้งค่า!$B$22)</f>
        <v/>
      </c>
      <c r="T8" s="24" t="n"/>
      <c r="U8" s="9">
        <f>IF(T8="",S8,T8)</f>
        <v/>
      </c>
      <c r="V8" s="9">
        <f>U8*ตั้งค่า!$B$20</f>
        <v/>
      </c>
      <c r="W8" s="21">
        <f>U8-R8-V8</f>
        <v/>
      </c>
      <c r="X8" s="25">
        <f>IF(U8=0,0,W8/U8)</f>
        <v/>
      </c>
      <c r="Y8" s="14">
        <f>IF(AND(E8&gt;0,'ต้นทุนชิ้นงาน'!I7=0),"สาย 250 mm ตัดจากเศษขนาดนี้ไม่ได้ ต้องใช้เศษยาว 25.5 ซม. ขึ้นไป","")</f>
        <v/>
      </c>
    </row>
    <row r="9">
      <c r="A9" s="20" t="n">
        <v>5</v>
      </c>
      <c r="B9" s="14" t="inlineStr">
        <is>
          <t>ซองอั่งเปาพับกังหัน</t>
        </is>
      </c>
      <c r="C9" s="23" t="n"/>
      <c r="D9" s="23" t="n"/>
      <c r="E9" s="23" t="n"/>
      <c r="F9" s="23" t="n">
        <v>1</v>
      </c>
      <c r="G9" s="23" t="n"/>
      <c r="H9" s="23" t="n"/>
      <c r="I9" s="23" t="n"/>
      <c r="J9" s="23" t="n"/>
      <c r="K9" s="9">
        <f>SUMPRODUCT($C$3:$J$3,C9:J9)</f>
        <v/>
      </c>
      <c r="L9" s="20">
        <f>SUM(C9:J9)</f>
        <v/>
      </c>
      <c r="M9" s="23" t="n">
        <v>4</v>
      </c>
      <c r="N9" s="9">
        <f>M9*ตั้งค่า!$B$14/3600*ตั้งค่า!$B$12</f>
        <v/>
      </c>
      <c r="O9" s="9">
        <f>ตั้งค่า!$B$15/3600*ตั้งค่า!$B$12</f>
        <v/>
      </c>
      <c r="P9" s="24" t="n">
        <v>0</v>
      </c>
      <c r="Q9" s="24" t="n">
        <v>5</v>
      </c>
      <c r="R9" s="21">
        <f>K9+N9+O9+P9+Q9</f>
        <v/>
      </c>
      <c r="S9" s="9">
        <f>CEILING(R9*ตั้งค่า!$B$21,ตั้งค่า!$B$22)</f>
        <v/>
      </c>
      <c r="T9" s="24" t="n"/>
      <c r="U9" s="9">
        <f>IF(T9="",S9,T9)</f>
        <v/>
      </c>
      <c r="V9" s="9">
        <f>U9*ตั้งค่า!$B$20</f>
        <v/>
      </c>
      <c r="W9" s="21">
        <f>U9-R9-V9</f>
        <v/>
      </c>
      <c r="X9" s="25">
        <f>IF(U9=0,0,W9/U9)</f>
        <v/>
      </c>
      <c r="Y9" s="14">
        <f>IF(AND(E9&gt;0,'ต้นทุนชิ้นงาน'!I7=0),"สาย 250 mm ตัดจากเศษขนาดนี้ไม่ได้ ต้องใช้เศษยาว 25.5 ซม. ขึ้นไป","")</f>
        <v/>
      </c>
    </row>
    <row r="10">
      <c r="A10" s="20" t="n">
        <v>6</v>
      </c>
      <c r="B10" s="14" t="inlineStr">
        <is>
          <t>ซองใส่เครื่องประดับ</t>
        </is>
      </c>
      <c r="C10" s="23" t="n"/>
      <c r="D10" s="23" t="n"/>
      <c r="E10" s="23" t="n"/>
      <c r="F10" s="23" t="n">
        <v>1</v>
      </c>
      <c r="G10" s="23" t="n"/>
      <c r="H10" s="23" t="n"/>
      <c r="I10" s="23" t="n"/>
      <c r="J10" s="23" t="n"/>
      <c r="K10" s="9">
        <f>SUMPRODUCT($C$3:$J$3,C10:J10)</f>
        <v/>
      </c>
      <c r="L10" s="20">
        <f>SUM(C10:J10)</f>
        <v/>
      </c>
      <c r="M10" s="23" t="n">
        <v>4</v>
      </c>
      <c r="N10" s="9">
        <f>M10*ตั้งค่า!$B$14/3600*ตั้งค่า!$B$12</f>
        <v/>
      </c>
      <c r="O10" s="9">
        <f>ตั้งค่า!$B$15/3600*ตั้งค่า!$B$12</f>
        <v/>
      </c>
      <c r="P10" s="24" t="n">
        <v>0</v>
      </c>
      <c r="Q10" s="24" t="n">
        <v>5</v>
      </c>
      <c r="R10" s="21">
        <f>K10+N10+O10+P10+Q10</f>
        <v/>
      </c>
      <c r="S10" s="9">
        <f>CEILING(R10*ตั้งค่า!$B$21,ตั้งค่า!$B$22)</f>
        <v/>
      </c>
      <c r="T10" s="24" t="n"/>
      <c r="U10" s="9">
        <f>IF(T10="",S10,T10)</f>
        <v/>
      </c>
      <c r="V10" s="9">
        <f>U10*ตั้งค่า!$B$20</f>
        <v/>
      </c>
      <c r="W10" s="21">
        <f>U10-R10-V10</f>
        <v/>
      </c>
      <c r="X10" s="25">
        <f>IF(U10=0,0,W10/U10)</f>
        <v/>
      </c>
      <c r="Y10" s="14">
        <f>IF(AND(E10&gt;0,'ต้นทุนชิ้นงาน'!I7=0),"สาย 250 mm ตัดจากเศษขนาดนี้ไม่ได้ ต้องใช้เศษยาว 25.5 ซม. ขึ้นไป","")</f>
        <v/>
      </c>
    </row>
    <row r="11">
      <c r="A11" s="20" t="n">
        <v>7</v>
      </c>
      <c r="B11" s="14" t="inlineStr">
        <is>
          <t>ซองการ์ดข้อความติดของขวัญ</t>
        </is>
      </c>
      <c r="C11" s="23" t="n"/>
      <c r="D11" s="23" t="n"/>
      <c r="E11" s="23" t="n"/>
      <c r="F11" s="23" t="n">
        <v>1</v>
      </c>
      <c r="G11" s="23" t="n"/>
      <c r="H11" s="23" t="n"/>
      <c r="I11" s="23" t="n"/>
      <c r="J11" s="23" t="n"/>
      <c r="K11" s="9">
        <f>SUMPRODUCT($C$3:$J$3,C11:J11)</f>
        <v/>
      </c>
      <c r="L11" s="20">
        <f>SUM(C11:J11)</f>
        <v/>
      </c>
      <c r="M11" s="23" t="n">
        <v>4</v>
      </c>
      <c r="N11" s="9">
        <f>M11*ตั้งค่า!$B$14/3600*ตั้งค่า!$B$12</f>
        <v/>
      </c>
      <c r="O11" s="9">
        <f>ตั้งค่า!$B$15/3600*ตั้งค่า!$B$12</f>
        <v/>
      </c>
      <c r="P11" s="24" t="n">
        <v>0</v>
      </c>
      <c r="Q11" s="24" t="n">
        <v>5</v>
      </c>
      <c r="R11" s="21">
        <f>K11+N11+O11+P11+Q11</f>
        <v/>
      </c>
      <c r="S11" s="9">
        <f>CEILING(R11*ตั้งค่า!$B$21,ตั้งค่า!$B$22)</f>
        <v/>
      </c>
      <c r="T11" s="24" t="n"/>
      <c r="U11" s="9">
        <f>IF(T11="",S11,T11)</f>
        <v/>
      </c>
      <c r="V11" s="9">
        <f>U11*ตั้งค่า!$B$20</f>
        <v/>
      </c>
      <c r="W11" s="21">
        <f>U11-R11-V11</f>
        <v/>
      </c>
      <c r="X11" s="25">
        <f>IF(U11=0,0,W11/U11)</f>
        <v/>
      </c>
      <c r="Y11" s="14">
        <f>IF(AND(E11&gt;0,'ต้นทุนชิ้นงาน'!I7=0),"สาย 250 mm ตัดจากเศษขนาดนี้ไม่ได้ ต้องใช้เศษยาว 25.5 ซม. ขึ้นไป","")</f>
        <v/>
      </c>
    </row>
    <row r="12">
      <c r="A12" s="20" t="n">
        <v>8</v>
      </c>
      <c r="B12" s="14" t="inlineStr">
        <is>
          <t>กล่องแหวนขอแต่งงาน</t>
        </is>
      </c>
      <c r="C12" s="23" t="n"/>
      <c r="D12" s="23" t="n"/>
      <c r="E12" s="23" t="n"/>
      <c r="F12" s="23" t="n"/>
      <c r="G12" s="23" t="n">
        <v>6</v>
      </c>
      <c r="H12" s="23" t="n"/>
      <c r="I12" s="23" t="n"/>
      <c r="J12" s="23" t="n"/>
      <c r="K12" s="9">
        <f>SUMPRODUCT($C$3:$J$3,C12:J12)</f>
        <v/>
      </c>
      <c r="L12" s="20">
        <f>SUM(C12:J12)</f>
        <v/>
      </c>
      <c r="M12" s="23" t="n">
        <v>12</v>
      </c>
      <c r="N12" s="9">
        <f>M12*ตั้งค่า!$B$14/3600*ตั้งค่า!$B$12</f>
        <v/>
      </c>
      <c r="O12" s="9">
        <f>ตั้งค่า!$B$15/3600*ตั้งค่า!$B$12</f>
        <v/>
      </c>
      <c r="P12" s="24" t="n">
        <v>0</v>
      </c>
      <c r="Q12" s="24" t="n">
        <v>5</v>
      </c>
      <c r="R12" s="21">
        <f>K12+N12+O12+P12+Q12</f>
        <v/>
      </c>
      <c r="S12" s="9">
        <f>CEILING(R12*ตั้งค่า!$B$21,ตั้งค่า!$B$22)</f>
        <v/>
      </c>
      <c r="T12" s="24" t="n"/>
      <c r="U12" s="9">
        <f>IF(T12="",S12,T12)</f>
        <v/>
      </c>
      <c r="V12" s="9">
        <f>U12*ตั้งค่า!$B$20</f>
        <v/>
      </c>
      <c r="W12" s="21">
        <f>U12-R12-V12</f>
        <v/>
      </c>
      <c r="X12" s="25">
        <f>IF(U12=0,0,W12/U12)</f>
        <v/>
      </c>
      <c r="Y12" s="14">
        <f>IF(AND(E12&gt;0,'ต้นทุนชิ้นงาน'!I7=0),"สาย 250 mm ตัดจากเศษขนาดนี้ไม่ได้ ต้องใช้เศษยาว 25.5 ซม. ขึ้นไป","")</f>
        <v/>
      </c>
    </row>
    <row r="13">
      <c r="A13" s="20" t="n">
        <v>9</v>
      </c>
      <c r="B13" s="14" t="inlineStr">
        <is>
          <t>ลูกเต๋าหนัง</t>
        </is>
      </c>
      <c r="C13" s="23" t="n"/>
      <c r="D13" s="23" t="n"/>
      <c r="E13" s="23" t="n"/>
      <c r="F13" s="23" t="n"/>
      <c r="G13" s="23" t="n">
        <v>6</v>
      </c>
      <c r="H13" s="23" t="n"/>
      <c r="I13" s="23" t="n"/>
      <c r="J13" s="23" t="n"/>
      <c r="K13" s="9">
        <f>SUMPRODUCT($C$3:$J$3,C13:J13)</f>
        <v/>
      </c>
      <c r="L13" s="20">
        <f>SUM(C13:J13)</f>
        <v/>
      </c>
      <c r="M13" s="23" t="n">
        <v>12</v>
      </c>
      <c r="N13" s="9">
        <f>M13*ตั้งค่า!$B$14/3600*ตั้งค่า!$B$12</f>
        <v/>
      </c>
      <c r="O13" s="9">
        <f>ตั้งค่า!$B$15/3600*ตั้งค่า!$B$12</f>
        <v/>
      </c>
      <c r="P13" s="24" t="n">
        <v>0</v>
      </c>
      <c r="Q13" s="24" t="n">
        <v>5</v>
      </c>
      <c r="R13" s="21">
        <f>K13+N13+O13+P13+Q13</f>
        <v/>
      </c>
      <c r="S13" s="9">
        <f>CEILING(R13*ตั้งค่า!$B$21,ตั้งค่า!$B$22)</f>
        <v/>
      </c>
      <c r="T13" s="24" t="n"/>
      <c r="U13" s="9">
        <f>IF(T13="",S13,T13)</f>
        <v/>
      </c>
      <c r="V13" s="9">
        <f>U13*ตั้งค่า!$B$20</f>
        <v/>
      </c>
      <c r="W13" s="21">
        <f>U13-R13-V13</f>
        <v/>
      </c>
      <c r="X13" s="25">
        <f>IF(U13=0,0,W13/U13)</f>
        <v/>
      </c>
      <c r="Y13" s="14">
        <f>IF(AND(E13&gt;0,'ต้นทุนชิ้นงาน'!I7=0),"สาย 250 mm ตัดจากเศษขนาดนี้ไม่ได้ ต้องใช้เศษยาว 25.5 ซม. ขึ้นไป","")</f>
        <v/>
      </c>
    </row>
    <row r="14">
      <c r="A14" s="20" t="n">
        <v>10</v>
      </c>
      <c r="B14" s="14" t="inlineStr">
        <is>
          <t>ซองใส่ AirTag</t>
        </is>
      </c>
      <c r="C14" s="23" t="n"/>
      <c r="D14" s="23" t="n"/>
      <c r="E14" s="23" t="n"/>
      <c r="F14" s="23" t="n"/>
      <c r="G14" s="23" t="n">
        <v>2</v>
      </c>
      <c r="H14" s="23" t="n"/>
      <c r="I14" s="23" t="n"/>
      <c r="J14" s="23" t="n"/>
      <c r="K14" s="9">
        <f>SUMPRODUCT($C$3:$J$3,C14:J14)</f>
        <v/>
      </c>
      <c r="L14" s="20">
        <f>SUM(C14:J14)</f>
        <v/>
      </c>
      <c r="M14" s="23" t="n">
        <v>4</v>
      </c>
      <c r="N14" s="9">
        <f>M14*ตั้งค่า!$B$14/3600*ตั้งค่า!$B$12</f>
        <v/>
      </c>
      <c r="O14" s="9">
        <f>ตั้งค่า!$B$15/3600*ตั้งค่า!$B$12</f>
        <v/>
      </c>
      <c r="P14" s="24" t="n">
        <v>0</v>
      </c>
      <c r="Q14" s="24" t="n">
        <v>5</v>
      </c>
      <c r="R14" s="21">
        <f>K14+N14+O14+P14+Q14</f>
        <v/>
      </c>
      <c r="S14" s="9">
        <f>CEILING(R14*ตั้งค่า!$B$21,ตั้งค่า!$B$22)</f>
        <v/>
      </c>
      <c r="T14" s="24" t="n"/>
      <c r="U14" s="9">
        <f>IF(T14="",S14,T14)</f>
        <v/>
      </c>
      <c r="V14" s="9">
        <f>U14*ตั้งค่า!$B$20</f>
        <v/>
      </c>
      <c r="W14" s="21">
        <f>U14-R14-V14</f>
        <v/>
      </c>
      <c r="X14" s="25">
        <f>IF(U14=0,0,W14/U14)</f>
        <v/>
      </c>
      <c r="Y14" s="14">
        <f>IF(AND(E14&gt;0,'ต้นทุนชิ้นงาน'!I7=0),"สาย 250 mm ตัดจากเศษขนาดนี้ไม่ได้ ต้องใช้เศษยาว 25.5 ซม. ขึ้นไป","")</f>
        <v/>
      </c>
    </row>
    <row r="15">
      <c r="A15" s="20" t="n">
        <v>11</v>
      </c>
      <c r="B15" s="14" t="inlineStr">
        <is>
          <t>ชุดตัวต่อหนังสำหรับเด็ก (24 ชิ้น)</t>
        </is>
      </c>
      <c r="C15" s="23" t="n"/>
      <c r="D15" s="23" t="n"/>
      <c r="E15" s="23" t="n"/>
      <c r="F15" s="23" t="n"/>
      <c r="G15" s="23" t="n">
        <v>24</v>
      </c>
      <c r="H15" s="23" t="n"/>
      <c r="I15" s="23" t="n"/>
      <c r="J15" s="23" t="n"/>
      <c r="K15" s="9">
        <f>SUMPRODUCT($C$3:$J$3,C15:J15)</f>
        <v/>
      </c>
      <c r="L15" s="20">
        <f>SUM(C15:J15)</f>
        <v/>
      </c>
      <c r="M15" s="23" t="n">
        <v>0</v>
      </c>
      <c r="N15" s="9">
        <f>M15*ตั้งค่า!$B$14/3600*ตั้งค่า!$B$12</f>
        <v/>
      </c>
      <c r="O15" s="9">
        <f>ตั้งค่า!$B$15/3600*ตั้งค่า!$B$12</f>
        <v/>
      </c>
      <c r="P15" s="24" t="n">
        <v>10</v>
      </c>
      <c r="Q15" s="24" t="n">
        <v>5</v>
      </c>
      <c r="R15" s="21">
        <f>K15+N15+O15+P15+Q15</f>
        <v/>
      </c>
      <c r="S15" s="9">
        <f>CEILING(R15*ตั้งค่า!$B$21,ตั้งค่า!$B$22)</f>
        <v/>
      </c>
      <c r="T15" s="24" t="n"/>
      <c r="U15" s="9">
        <f>IF(T15="",S15,T15)</f>
        <v/>
      </c>
      <c r="V15" s="9">
        <f>U15*ตั้งค่า!$B$20</f>
        <v/>
      </c>
      <c r="W15" s="21">
        <f>U15-R15-V15</f>
        <v/>
      </c>
      <c r="X15" s="25">
        <f>IF(U15=0,0,W15/U15)</f>
        <v/>
      </c>
      <c r="Y15" s="14">
        <f>IF(AND(E15&gt;0,'ต้นทุนชิ้นงาน'!I7=0),"สาย 250 mm ตัดจากเศษขนาดนี้ไม่ได้ ต้องใช้เศษยาว 25.5 ซม. ขึ้นไป","")</f>
        <v/>
      </c>
    </row>
    <row r="16">
      <c r="A16" s="20" t="n">
        <v>12</v>
      </c>
      <c r="B16" s="14" t="inlineStr">
        <is>
          <t>ที่ใส่ปากกาทรงมงกุฎ</t>
        </is>
      </c>
      <c r="C16" s="23" t="n"/>
      <c r="D16" s="23" t="n"/>
      <c r="E16" s="23" t="n"/>
      <c r="F16" s="23" t="n"/>
      <c r="G16" s="23" t="n"/>
      <c r="H16" s="23" t="n">
        <v>5</v>
      </c>
      <c r="I16" s="23" t="n"/>
      <c r="J16" s="23" t="n"/>
      <c r="K16" s="9">
        <f>SUMPRODUCT($C$3:$J$3,C16:J16)</f>
        <v/>
      </c>
      <c r="L16" s="20">
        <f>SUM(C16:J16)</f>
        <v/>
      </c>
      <c r="M16" s="23" t="n">
        <v>8</v>
      </c>
      <c r="N16" s="9">
        <f>M16*ตั้งค่า!$B$14/3600*ตั้งค่า!$B$12</f>
        <v/>
      </c>
      <c r="O16" s="9">
        <f>ตั้งค่า!$B$15/3600*ตั้งค่า!$B$12</f>
        <v/>
      </c>
      <c r="P16" s="24" t="n">
        <v>0</v>
      </c>
      <c r="Q16" s="24" t="n">
        <v>5</v>
      </c>
      <c r="R16" s="21">
        <f>K16+N16+O16+P16+Q16</f>
        <v/>
      </c>
      <c r="S16" s="9">
        <f>CEILING(R16*ตั้งค่า!$B$21,ตั้งค่า!$B$22)</f>
        <v/>
      </c>
      <c r="T16" s="24" t="n"/>
      <c r="U16" s="9">
        <f>IF(T16="",S16,T16)</f>
        <v/>
      </c>
      <c r="V16" s="9">
        <f>U16*ตั้งค่า!$B$20</f>
        <v/>
      </c>
      <c r="W16" s="21">
        <f>U16-R16-V16</f>
        <v/>
      </c>
      <c r="X16" s="25">
        <f>IF(U16=0,0,W16/U16)</f>
        <v/>
      </c>
      <c r="Y16" s="14">
        <f>IF(AND(E16&gt;0,'ต้นทุนชิ้นงาน'!I7=0),"สาย 250 mm ตัดจากเศษขนาดนี้ไม่ได้ ต้องใช้เศษยาว 25.5 ซม. ขึ้นไป","")</f>
        <v/>
      </c>
    </row>
    <row r="17">
      <c r="A17" s="20" t="n">
        <v>13</v>
      </c>
      <c r="B17" s="14" t="inlineStr">
        <is>
          <t>แผ่นรองจานลายข้าวหลามตัด</t>
        </is>
      </c>
      <c r="C17" s="23" t="n"/>
      <c r="D17" s="23" t="n"/>
      <c r="E17" s="23" t="n"/>
      <c r="F17" s="23" t="n"/>
      <c r="G17" s="23" t="n"/>
      <c r="H17" s="23" t="n">
        <v>12</v>
      </c>
      <c r="I17" s="23" t="n"/>
      <c r="J17" s="23" t="n"/>
      <c r="K17" s="9">
        <f>SUMPRODUCT($C$3:$J$3,C17:J17)</f>
        <v/>
      </c>
      <c r="L17" s="20">
        <f>SUM(C17:J17)</f>
        <v/>
      </c>
      <c r="M17" s="23" t="n">
        <v>17</v>
      </c>
      <c r="N17" s="9">
        <f>M17*ตั้งค่า!$B$14/3600*ตั้งค่า!$B$12</f>
        <v/>
      </c>
      <c r="O17" s="9">
        <f>ตั้งค่า!$B$15/3600*ตั้งค่า!$B$12</f>
        <v/>
      </c>
      <c r="P17" s="24" t="n">
        <v>0</v>
      </c>
      <c r="Q17" s="24" t="n">
        <v>5</v>
      </c>
      <c r="R17" s="21">
        <f>K17+N17+O17+P17+Q17</f>
        <v/>
      </c>
      <c r="S17" s="9">
        <f>CEILING(R17*ตั้งค่า!$B$21,ตั้งค่า!$B$22)</f>
        <v/>
      </c>
      <c r="T17" s="24" t="n"/>
      <c r="U17" s="9">
        <f>IF(T17="",S17,T17)</f>
        <v/>
      </c>
      <c r="V17" s="9">
        <f>U17*ตั้งค่า!$B$20</f>
        <v/>
      </c>
      <c r="W17" s="21">
        <f>U17-R17-V17</f>
        <v/>
      </c>
      <c r="X17" s="25">
        <f>IF(U17=0,0,W17/U17)</f>
        <v/>
      </c>
      <c r="Y17" s="14">
        <f>IF(AND(E17&gt;0,'ต้นทุนชิ้นงาน'!I7=0),"สาย 250 mm ตัดจากเศษขนาดนี้ไม่ได้ ต้องใช้เศษยาว 25.5 ซม. ขึ้นไป","")</f>
        <v/>
      </c>
    </row>
    <row r="18">
      <c r="A18" s="20" t="n">
        <v>14</v>
      </c>
      <c r="B18" s="14" t="inlineStr">
        <is>
          <t>ปลอกแก้วกาแฟ</t>
        </is>
      </c>
      <c r="C18" s="23" t="n"/>
      <c r="D18" s="23" t="n"/>
      <c r="E18" s="23" t="n"/>
      <c r="F18" s="23" t="n"/>
      <c r="G18" s="23" t="n"/>
      <c r="H18" s="23" t="n"/>
      <c r="I18" s="23" t="n">
        <v>4</v>
      </c>
      <c r="J18" s="23" t="n"/>
      <c r="K18" s="9">
        <f>SUMPRODUCT($C$3:$J$3,C18:J18)</f>
        <v/>
      </c>
      <c r="L18" s="20">
        <f>SUM(C18:J18)</f>
        <v/>
      </c>
      <c r="M18" s="23" t="n">
        <v>4</v>
      </c>
      <c r="N18" s="9">
        <f>M18*ตั้งค่า!$B$14/3600*ตั้งค่า!$B$12</f>
        <v/>
      </c>
      <c r="O18" s="9">
        <f>ตั้งค่า!$B$15/3600*ตั้งค่า!$B$12</f>
        <v/>
      </c>
      <c r="P18" s="24" t="n">
        <v>0</v>
      </c>
      <c r="Q18" s="24" t="n">
        <v>5</v>
      </c>
      <c r="R18" s="21">
        <f>K18+N18+O18+P18+Q18</f>
        <v/>
      </c>
      <c r="S18" s="9">
        <f>CEILING(R18*ตั้งค่า!$B$21,ตั้งค่า!$B$22)</f>
        <v/>
      </c>
      <c r="T18" s="24" t="n"/>
      <c r="U18" s="9">
        <f>IF(T18="",S18,T18)</f>
        <v/>
      </c>
      <c r="V18" s="9">
        <f>U18*ตั้งค่า!$B$20</f>
        <v/>
      </c>
      <c r="W18" s="21">
        <f>U18-R18-V18</f>
        <v/>
      </c>
      <c r="X18" s="25">
        <f>IF(U18=0,0,W18/U18)</f>
        <v/>
      </c>
      <c r="Y18" s="14">
        <f>IF(AND(E18&gt;0,'ต้นทุนชิ้นงาน'!I7=0),"สาย 250 mm ตัดจากเศษขนาดนี้ไม่ได้ ต้องใช้เศษยาว 25.5 ซม. ขึ้นไป","")</f>
        <v/>
      </c>
    </row>
    <row r="19">
      <c r="A19" s="20" t="n">
        <v>15</v>
      </c>
      <c r="B19" s="14" t="inlineStr">
        <is>
          <t>ที่รองแก้วสองชั้นไส้ไม้ก๊อก</t>
        </is>
      </c>
      <c r="C19" s="23" t="n"/>
      <c r="D19" s="23" t="n"/>
      <c r="E19" s="23" t="n"/>
      <c r="F19" s="23" t="n"/>
      <c r="G19" s="23" t="n"/>
      <c r="H19" s="23" t="n"/>
      <c r="I19" s="23" t="n">
        <v>2</v>
      </c>
      <c r="J19" s="23" t="n"/>
      <c r="K19" s="9">
        <f>SUMPRODUCT($C$3:$J$3,C19:J19)</f>
        <v/>
      </c>
      <c r="L19" s="20">
        <f>SUM(C19:J19)</f>
        <v/>
      </c>
      <c r="M19" s="23" t="n">
        <v>4</v>
      </c>
      <c r="N19" s="9">
        <f>M19*ตั้งค่า!$B$14/3600*ตั้งค่า!$B$12</f>
        <v/>
      </c>
      <c r="O19" s="9">
        <f>ตั้งค่า!$B$15/3600*ตั้งค่า!$B$12</f>
        <v/>
      </c>
      <c r="P19" s="24" t="n">
        <v>10</v>
      </c>
      <c r="Q19" s="24" t="n">
        <v>5</v>
      </c>
      <c r="R19" s="21">
        <f>K19+N19+O19+P19+Q19</f>
        <v/>
      </c>
      <c r="S19" s="9">
        <f>CEILING(R19*ตั้งค่า!$B$21,ตั้งค่า!$B$22)</f>
        <v/>
      </c>
      <c r="T19" s="24" t="n"/>
      <c r="U19" s="9">
        <f>IF(T19="",S19,T19)</f>
        <v/>
      </c>
      <c r="V19" s="9">
        <f>U19*ตั้งค่า!$B$20</f>
        <v/>
      </c>
      <c r="W19" s="21">
        <f>U19-R19-V19</f>
        <v/>
      </c>
      <c r="X19" s="25">
        <f>IF(U19=0,0,W19/U19)</f>
        <v/>
      </c>
      <c r="Y19" s="14">
        <f>IF(AND(E19&gt;0,'ต้นทุนชิ้นงาน'!I7=0),"สาย 250 mm ตัดจากเศษขนาดนี้ไม่ได้ ต้องใช้เศษยาว 25.5 ซม. ขึ้นไป","")</f>
        <v/>
      </c>
    </row>
    <row r="20">
      <c r="A20" s="20" t="n">
        <v>16</v>
      </c>
      <c r="B20" s="14" t="inlineStr">
        <is>
          <t>กระเป๋าเหรียญจิ๋ว</t>
        </is>
      </c>
      <c r="C20" s="23" t="n"/>
      <c r="D20" s="23" t="n"/>
      <c r="E20" s="23" t="n"/>
      <c r="F20" s="23" t="n"/>
      <c r="G20" s="23" t="n"/>
      <c r="H20" s="23" t="n"/>
      <c r="I20" s="23" t="n">
        <v>2</v>
      </c>
      <c r="J20" s="23" t="n"/>
      <c r="K20" s="9">
        <f>SUMPRODUCT($C$3:$J$3,C20:J20)</f>
        <v/>
      </c>
      <c r="L20" s="20">
        <f>SUM(C20:J20)</f>
        <v/>
      </c>
      <c r="M20" s="23" t="n">
        <v>3</v>
      </c>
      <c r="N20" s="9">
        <f>M20*ตั้งค่า!$B$14/3600*ตั้งค่า!$B$12</f>
        <v/>
      </c>
      <c r="O20" s="9">
        <f>ตั้งค่า!$B$15/3600*ตั้งค่า!$B$12</f>
        <v/>
      </c>
      <c r="P20" s="24" t="n">
        <v>0</v>
      </c>
      <c r="Q20" s="24" t="n">
        <v>5</v>
      </c>
      <c r="R20" s="21">
        <f>K20+N20+O20+P20+Q20</f>
        <v/>
      </c>
      <c r="S20" s="9">
        <f>CEILING(R20*ตั้งค่า!$B$21,ตั้งค่า!$B$22)</f>
        <v/>
      </c>
      <c r="T20" s="24" t="n"/>
      <c r="U20" s="9">
        <f>IF(T20="",S20,T20)</f>
        <v/>
      </c>
      <c r="V20" s="9">
        <f>U20*ตั้งค่า!$B$20</f>
        <v/>
      </c>
      <c r="W20" s="21">
        <f>U20-R20-V20</f>
        <v/>
      </c>
      <c r="X20" s="25">
        <f>IF(U20=0,0,W20/U20)</f>
        <v/>
      </c>
      <c r="Y20" s="14">
        <f>IF(AND(E20&gt;0,'ต้นทุนชิ้นงาน'!I7=0),"สาย 250 mm ตัดจากเศษขนาดนี้ไม่ได้ ต้องใช้เศษยาว 25.5 ซม. ขึ้นไป","")</f>
        <v/>
      </c>
    </row>
    <row r="21">
      <c r="A21" s="20" t="n">
        <v>17</v>
      </c>
      <c r="B21" s="14" t="inlineStr">
        <is>
          <t>กล่องของขวัญสลับลาย</t>
        </is>
      </c>
      <c r="C21" s="23" t="n"/>
      <c r="D21" s="23" t="n"/>
      <c r="E21" s="23" t="n"/>
      <c r="F21" s="23" t="n"/>
      <c r="G21" s="23" t="n"/>
      <c r="H21" s="23" t="n">
        <v>3</v>
      </c>
      <c r="I21" s="23" t="n">
        <v>3</v>
      </c>
      <c r="J21" s="23" t="n"/>
      <c r="K21" s="9">
        <f>SUMPRODUCT($C$3:$J$3,C21:J21)</f>
        <v/>
      </c>
      <c r="L21" s="20">
        <f>SUM(C21:J21)</f>
        <v/>
      </c>
      <c r="M21" s="23" t="n">
        <v>12</v>
      </c>
      <c r="N21" s="9">
        <f>M21*ตั้งค่า!$B$14/3600*ตั้งค่า!$B$12</f>
        <v/>
      </c>
      <c r="O21" s="9">
        <f>ตั้งค่า!$B$15/3600*ตั้งค่า!$B$12</f>
        <v/>
      </c>
      <c r="P21" s="24" t="n">
        <v>0</v>
      </c>
      <c r="Q21" s="24" t="n">
        <v>5</v>
      </c>
      <c r="R21" s="21">
        <f>K21+N21+O21+P21+Q21</f>
        <v/>
      </c>
      <c r="S21" s="9">
        <f>CEILING(R21*ตั้งค่า!$B$21,ตั้งค่า!$B$22)</f>
        <v/>
      </c>
      <c r="T21" s="24" t="n"/>
      <c r="U21" s="9">
        <f>IF(T21="",S21,T21)</f>
        <v/>
      </c>
      <c r="V21" s="9">
        <f>U21*ตั้งค่า!$B$20</f>
        <v/>
      </c>
      <c r="W21" s="21">
        <f>U21-R21-V21</f>
        <v/>
      </c>
      <c r="X21" s="25">
        <f>IF(U21=0,0,W21/U21)</f>
        <v/>
      </c>
      <c r="Y21" s="14">
        <f>IF(AND(E21&gt;0,'ต้นทุนชิ้นงาน'!I7=0),"สาย 250 mm ตัดจากเศษขนาดนี้ไม่ได้ ต้องใช้เศษยาว 25.5 ซม. ขึ้นไป","")</f>
        <v/>
      </c>
    </row>
    <row r="22">
      <c r="A22" s="20" t="n">
        <v>18</v>
      </c>
      <c r="B22" s="14" t="inlineStr">
        <is>
          <t>กล่องของชำร่วยงานแต่ง</t>
        </is>
      </c>
      <c r="C22" s="23" t="n"/>
      <c r="D22" s="23" t="n"/>
      <c r="E22" s="23" t="n"/>
      <c r="F22" s="23" t="n"/>
      <c r="G22" s="23" t="n"/>
      <c r="H22" s="23" t="n"/>
      <c r="I22" s="23" t="n"/>
      <c r="J22" s="23" t="n">
        <v>6</v>
      </c>
      <c r="K22" s="9">
        <f>SUMPRODUCT($C$3:$J$3,C22:J22)</f>
        <v/>
      </c>
      <c r="L22" s="20">
        <f>SUM(C22:J22)</f>
        <v/>
      </c>
      <c r="M22" s="23" t="n">
        <v>12</v>
      </c>
      <c r="N22" s="9">
        <f>M22*ตั้งค่า!$B$14/3600*ตั้งค่า!$B$12</f>
        <v/>
      </c>
      <c r="O22" s="9">
        <f>ตั้งค่า!$B$15/3600*ตั้งค่า!$B$12</f>
        <v/>
      </c>
      <c r="P22" s="24" t="n">
        <v>0</v>
      </c>
      <c r="Q22" s="24" t="n">
        <v>5</v>
      </c>
      <c r="R22" s="21">
        <f>K22+N22+O22+P22+Q22</f>
        <v/>
      </c>
      <c r="S22" s="9">
        <f>CEILING(R22*ตั้งค่า!$B$21,ตั้งค่า!$B$22)</f>
        <v/>
      </c>
      <c r="T22" s="24" t="n"/>
      <c r="U22" s="9">
        <f>IF(T22="",S22,T22)</f>
        <v/>
      </c>
      <c r="V22" s="9">
        <f>U22*ตั้งค่า!$B$20</f>
        <v/>
      </c>
      <c r="W22" s="21">
        <f>U22-R22-V22</f>
        <v/>
      </c>
      <c r="X22" s="25">
        <f>IF(U22=0,0,W22/U22)</f>
        <v/>
      </c>
      <c r="Y22" s="14">
        <f>IF(AND(E22&gt;0,'ต้นทุนชิ้นงาน'!I7=0),"สาย 250 mm ตัดจากเศษขนาดนี้ไม่ได้ ต้องใช้เศษยาว 25.5 ซม. ขึ้นไป","")</f>
        <v/>
      </c>
    </row>
    <row r="23">
      <c r="A23" s="20" t="n">
        <v>19</v>
      </c>
      <c r="B23" s="14" t="inlineStr">
        <is>
          <t>ที่ใส่แปรงแต่งหน้า</t>
        </is>
      </c>
      <c r="C23" s="23" t="n"/>
      <c r="D23" s="23" t="n"/>
      <c r="E23" s="23" t="n"/>
      <c r="F23" s="23" t="n"/>
      <c r="G23" s="23" t="n"/>
      <c r="H23" s="23" t="n"/>
      <c r="I23" s="23" t="n"/>
      <c r="J23" s="23" t="n">
        <v>5</v>
      </c>
      <c r="K23" s="9">
        <f>SUMPRODUCT($C$3:$J$3,C23:J23)</f>
        <v/>
      </c>
      <c r="L23" s="20">
        <f>SUM(C23:J23)</f>
        <v/>
      </c>
      <c r="M23" s="23" t="n">
        <v>8</v>
      </c>
      <c r="N23" s="9">
        <f>M23*ตั้งค่า!$B$14/3600*ตั้งค่า!$B$12</f>
        <v/>
      </c>
      <c r="O23" s="9">
        <f>ตั้งค่า!$B$15/3600*ตั้งค่า!$B$12</f>
        <v/>
      </c>
      <c r="P23" s="24" t="n">
        <v>0</v>
      </c>
      <c r="Q23" s="24" t="n">
        <v>5</v>
      </c>
      <c r="R23" s="21">
        <f>K23+N23+O23+P23+Q23</f>
        <v/>
      </c>
      <c r="S23" s="9">
        <f>CEILING(R23*ตั้งค่า!$B$21,ตั้งค่า!$B$22)</f>
        <v/>
      </c>
      <c r="T23" s="24" t="n"/>
      <c r="U23" s="9">
        <f>IF(T23="",S23,T23)</f>
        <v/>
      </c>
      <c r="V23" s="9">
        <f>U23*ตั้งค่า!$B$20</f>
        <v/>
      </c>
      <c r="W23" s="21">
        <f>U23-R23-V23</f>
        <v/>
      </c>
      <c r="X23" s="25">
        <f>IF(U23=0,0,W23/U23)</f>
        <v/>
      </c>
      <c r="Y23" s="14">
        <f>IF(AND(E23&gt;0,'ต้นทุนชิ้นงาน'!I7=0),"สาย 250 mm ตัดจากเศษขนาดนี้ไม่ได้ ต้องใช้เศษยาว 25.5 ซม. ขึ้นไป","")</f>
        <v/>
      </c>
    </row>
    <row r="24">
      <c r="A24" s="20" t="n">
        <v>20</v>
      </c>
      <c r="B24" s="14" t="inlineStr">
        <is>
          <t>ของแขวนต้นคริสต์มาส</t>
        </is>
      </c>
      <c r="C24" s="23" t="n"/>
      <c r="D24" s="23" t="n"/>
      <c r="E24" s="23" t="n"/>
      <c r="F24" s="23" t="n"/>
      <c r="G24" s="23" t="n"/>
      <c r="H24" s="23" t="n"/>
      <c r="I24" s="23" t="n"/>
      <c r="J24" s="23" t="n">
        <v>6</v>
      </c>
      <c r="K24" s="9">
        <f>SUMPRODUCT($C$3:$J$3,C24:J24)</f>
        <v/>
      </c>
      <c r="L24" s="20">
        <f>SUM(C24:J24)</f>
        <v/>
      </c>
      <c r="M24" s="23" t="n">
        <v>12</v>
      </c>
      <c r="N24" s="9">
        <f>M24*ตั้งค่า!$B$14/3600*ตั้งค่า!$B$12</f>
        <v/>
      </c>
      <c r="O24" s="9">
        <f>ตั้งค่า!$B$15/3600*ตั้งค่า!$B$12</f>
        <v/>
      </c>
      <c r="P24" s="24" t="n">
        <v>3</v>
      </c>
      <c r="Q24" s="24" t="n">
        <v>5</v>
      </c>
      <c r="R24" s="21">
        <f>K24+N24+O24+P24+Q24</f>
        <v/>
      </c>
      <c r="S24" s="9">
        <f>CEILING(R24*ตั้งค่า!$B$21,ตั้งค่า!$B$22)</f>
        <v/>
      </c>
      <c r="T24" s="24" t="n"/>
      <c r="U24" s="9">
        <f>IF(T24="",S24,T24)</f>
        <v/>
      </c>
      <c r="V24" s="9">
        <f>U24*ตั้งค่า!$B$20</f>
        <v/>
      </c>
      <c r="W24" s="21">
        <f>U24-R24-V24</f>
        <v/>
      </c>
      <c r="X24" s="25">
        <f>IF(U24=0,0,W24/U24)</f>
        <v/>
      </c>
      <c r="Y24" s="14">
        <f>IF(AND(E24&gt;0,'ต้นทุนชิ้นงาน'!I7=0),"สาย 250 mm ตัดจากเศษขนาดนี้ไม่ได้ ต้องใช้เศษยาว 25.5 ซม. ขึ้นไป","")</f>
        <v/>
      </c>
    </row>
    <row r="26">
      <c r="A26" s="13" t="inlineStr">
        <is>
          <t>ที่มา: ชิ้นเสริมและบรรจุภัณฑ์เป็นค่าตัวอย่าง (ถุงชุดตัวต่อ 10 · ไม้ก๊อก 10 · ริบบิ้น 3 · บรรจุภัณฑ์ 5 บาท) ให้แก้เป็นราคาจริง · รอยต่อ = จุดที่ต้องสอดปีกหรือร้อยสายที่โรงงาน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2026-10-14T10:32:55Z</dcterms:created>
  <dcterms:modified xmlns:dcterms="http://purl.org/dc/terms/" xmlns:xsi="http://www.w3.org/2001/XMLSchema-instance" xsi:type="dcterms:W3CDTF">2026-10-14T10:32:55Z</dcterms:modified>
</cp:coreProperties>
</file>